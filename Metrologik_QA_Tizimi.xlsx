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📊 DASHBOARD" sheetId="1" r:id="rId1"/>
    <sheet name="M1_KALIB" sheetId="2" r:id="rId2"/>
    <sheet name="M2_STAT" sheetId="3" r:id="rId3"/>
    <sheet name="M3_IQC" sheetId="4" r:id="rId4"/>
    <sheet name="M4_MU" sheetId="5" r:id="rId5"/>
    <sheet name="M5_CONF" sheetId="6" r:id="rId6"/>
    <sheet name="M6_INTER" sheetId="7" r:id="rId7"/>
  </sheets>
</workbook>
</file>

<file path=xl/sharedStrings.xml><?xml version="1.0" encoding="utf-8"?>
<sst xmlns="http://schemas.openxmlformats.org/spreadsheetml/2006/main" count="276" uniqueCount="276">
  <si>
    <t xml:space="preserve">METROLOGIK SIFAT NAZORATI TIZIMI</t>
  </si>
  <si>
    <t xml:space="preserve">ISO/IEC 17025 | ILAC-G8 | GUM | SANTE | EA-4/02</t>
  </si>
  <si>
    <t xml:space="preserve">LABORATORIYA MA'LUMOTLARI</t>
  </si>
  <si>
    <t xml:space="preserve">Laboratoriya nomi:</t>
  </si>
  <si>
    <t xml:space="preserve"/>
  </si>
  <si>
    <t xml:space="preserve">Akkreditatsiya №:</t>
  </si>
  <si>
    <t xml:space="preserve">Mas'ul shaxs:</t>
  </si>
  <si>
    <t xml:space="preserve">Sana:</t>
  </si>
  <si>
    <t xml:space="preserve">Uskunalar:</t>
  </si>
  <si>
    <t xml:space="preserve">IC | GC | GC-MS | LC | HPLC-MS | ICP-MS</t>
  </si>
  <si>
    <t xml:space="preserve">MODULLAR — QISQACHA NAVIGATOR</t>
  </si>
  <si>
    <t xml:space="preserve">Modul</t>
  </si>
  <si>
    <t xml:space="preserve">Funksiya</t>
  </si>
  <si>
    <t xml:space="preserve">Sheet nomi</t>
  </si>
  <si>
    <t xml:space="preserve">📈 M1: Kalibrasiya</t>
  </si>
  <si>
    <t xml:space="preserve">Linear/Non-linear, R², LOD/LOQ, Residual, 1/x² weighting</t>
  </si>
  <si>
    <t xml:space="preserve">M1_KALIB</t>
  </si>
  <si>
    <t xml:space="preserve">📉 M2: Statistika</t>
  </si>
  <si>
    <t xml:space="preserve">SD, CV%, Bias, Recovery, Grubbs, Dixon, Shapiro-Wilk</t>
  </si>
  <si>
    <t xml:space="preserve">M2_STAT</t>
  </si>
  <si>
    <t xml:space="preserve">🔍 M3: IQC Monitoring</t>
  </si>
  <si>
    <t xml:space="preserve">Levey-Jennings, Westgard qoidalari (6 qoida), Control limits</t>
  </si>
  <si>
    <t xml:space="preserve">M3_IQC</t>
  </si>
  <si>
    <t xml:space="preserve">📐 M4: MU / Noaniqlik</t>
  </si>
  <si>
    <t xml:space="preserve">Top-down, Uncertainty budget, Expanded U (k=2), GUM</t>
  </si>
  <si>
    <t xml:space="preserve">M4_MU</t>
  </si>
  <si>
    <t xml:space="preserve">⚖️ M5: Conformity</t>
  </si>
  <si>
    <t xml:space="preserve">Guard band, ILAC-G8, TUR, False conformance risk</t>
  </si>
  <si>
    <t xml:space="preserve">M5_CONF</t>
  </si>
  <si>
    <t xml:space="preserve">🌐 M6: Interlaboratory</t>
  </si>
  <si>
    <t xml:space="preserve">z-score, En number, Robust statistics (median, MAD)</t>
  </si>
  <si>
    <t xml:space="preserve">M6_INTER</t>
  </si>
  <si>
    <t xml:space="preserve">QOʻLLANILGAN STANDARTLAR VA HUJJATLAR</t>
  </si>
  <si>
    <t xml:space="preserve">Standart</t>
  </si>
  <si>
    <t xml:space="preserve">Tavsif</t>
  </si>
  <si>
    <t xml:space="preserve">ISO/IEC 17025:2017</t>
  </si>
  <si>
    <t xml:space="preserve">Sinov va kalibrlash laboratoriyalari kompetentsiyasi</t>
  </si>
  <si>
    <t xml:space="preserve">ILAC-G8:09/2019</t>
  </si>
  <si>
    <t xml:space="preserve">Muvofiqlik bayonotlari uchun qaror qoidalari</t>
  </si>
  <si>
    <t xml:space="preserve">GUM (JCGM 100:2008)</t>
  </si>
  <si>
    <t xml:space="preserve">O'lchov noaniqligini ifodalash qo'llanmasi</t>
  </si>
  <si>
    <t xml:space="preserve">EURACHEM/CITAC CG4</t>
  </si>
  <si>
    <t xml:space="preserve">Analitik kimyoda o'lchov noaniqligini aniqlash</t>
  </si>
  <si>
    <t xml:space="preserve">ISO 5725-2:2019</t>
  </si>
  <si>
    <t xml:space="preserve">Aniqlik va haqiqiylik — takrorlanish metodlari</t>
  </si>
  <si>
    <t xml:space="preserve">SANTE/11813/2017</t>
  </si>
  <si>
    <t xml:space="preserve">Pestitsid qoldiqlarini tahlil qilish sifat nazorati</t>
  </si>
  <si>
    <t xml:space="preserve">EA-4/02 M:2022</t>
  </si>
  <si>
    <t xml:space="preserve">Kalibrlash laboratoriyalarida noaniqlikni ifodalash</t>
  </si>
  <si>
    <t xml:space="preserve">FDA BMV 2018</t>
  </si>
  <si>
    <t xml:space="preserve">Bioanalitik metod validatsiyasi — aniqlik talablari</t>
  </si>
  <si>
    <t xml:space="preserve">MODUL 1 — KALIBRASIYA TAHLILI</t>
  </si>
  <si>
    <t xml:space="preserve">ISO/IEC 17025 Cl.7.3 | SANTE/11813 | FDA BMV 2018</t>
  </si>
  <si>
    <t xml:space="preserve">KIRISH MA'LUMOTLARI — KALIBRASIYA NUQTALARI</t>
  </si>
  <si>
    <t xml:space="preserve">№</t>
  </si>
  <si>
    <t xml:space="preserve">Konsentrasiya (x)
[ng/mL]</t>
  </si>
  <si>
    <t xml:space="preserve">Signal / Area (y₁)</t>
  </si>
  <si>
    <t xml:space="preserve">Signal / Area (y₂)</t>
  </si>
  <si>
    <t xml:space="preserve">Signal / Area (y₃)</t>
  </si>
  <si>
    <t xml:space="preserve">O'rtacha ȳ</t>
  </si>
  <si>
    <t xml:space="preserve">RSD (%)</t>
  </si>
  <si>
    <t xml:space="preserve">REGRESSION NATIJALARI (Formulalar avtomatik)</t>
  </si>
  <si>
    <t xml:space="preserve">Slope (b):</t>
  </si>
  <si>
    <t xml:space="preserve">Intercept (a):</t>
  </si>
  <si>
    <t xml:space="preserve">R² (Pearson²):</t>
  </si>
  <si>
    <t xml:space="preserve">R (Pearson):</t>
  </si>
  <si>
    <t xml:space="preserve">n (nuqtalar):</t>
  </si>
  <si>
    <t xml:space="preserve">Sy (residual SD):</t>
  </si>
  <si>
    <t xml:space="preserve">LOD / LOQ HISOBLASH  (Kalibrasiya egri chizig'i metodi)</t>
  </si>
  <si>
    <t xml:space="preserve">LOD = 3.3 × Sy / b</t>
  </si>
  <si>
    <t xml:space="preserve">ng/mL</t>
  </si>
  <si>
    <t xml:space="preserve">LOQ = 10 × Sy / b</t>
  </si>
  <si>
    <t xml:space="preserve">✔ R² ≥ 0.999 talab qilinadi (LC-MS/MS, GC-MS). R² ≥ 0.995 qabul qilinadi (IC, HPLC-UV). Back-calculated deviation ≤ 15% at LOQ, ≤ 10% at all other points (FDA BMV 2018).</t>
  </si>
  <si>
    <t xml:space="preserve">✔ Agar fan-shaped residual aniqlansa — 1/x yoki 1/x² weighting qo'llang. SSRR (sum of squared relative residuals) minimumini tanlang.</t>
  </si>
  <si>
    <t xml:space="preserve">RESIDUAL TAHLIL — Back-calculated qiymatlar</t>
  </si>
  <si>
    <t xml:space="preserve">x (nom.)</t>
  </si>
  <si>
    <t xml:space="preserve">ȳ (o'lchangan)</t>
  </si>
  <si>
    <t xml:space="preserve">x_back = (ȳ−a)/b</t>
  </si>
  <si>
    <t xml:space="preserve">Residual %</t>
  </si>
  <si>
    <t xml:space="preserve">Status</t>
  </si>
  <si>
    <t xml:space="preserve">MODUL 2 — STATISTIK TAHLIL</t>
  </si>
  <si>
    <t xml:space="preserve">ISO 5725-2:2019 | EURACHEM CG4 | FDA BMV 2018 | Dixon &amp; Grubbs</t>
  </si>
  <si>
    <t xml:space="preserve">NATIJALAR KIRISH (maksimal 20 ta o'lchov)</t>
  </si>
  <si>
    <t xml:space="preserve">O'lchov natijasi [birlik / ng·mL⁻¹ / mg·kg⁻¹]</t>
  </si>
  <si>
    <t xml:space="preserve">ASOSIY STATISTIKA (Avtomatik hisoblash)</t>
  </si>
  <si>
    <t xml:space="preserve">n (namunalar soni):</t>
  </si>
  <si>
    <t xml:space="preserve">Xo'rtacha (x̄):</t>
  </si>
  <si>
    <t xml:space="preserve">Median:</t>
  </si>
  <si>
    <t xml:space="preserve">SD (standart og'ish, s):</t>
  </si>
  <si>
    <t xml:space="preserve">Variance (s²):</t>
  </si>
  <si>
    <t xml:space="preserve">CV% (nisbiy og'ish):</t>
  </si>
  <si>
    <t xml:space="preserve">Min:</t>
  </si>
  <si>
    <t xml:space="preserve">Max:</t>
  </si>
  <si>
    <t xml:space="preserve">Range (Max−Min):</t>
  </si>
  <si>
    <t xml:space="preserve">BIAS &amp; RECOVERY HISOBLASH</t>
  </si>
  <si>
    <t xml:space="preserve">Sertifikat / nominal qiymat (μref):</t>
  </si>
  <si>
    <t xml:space="preserve">Bias (%) = (x̄ − μref)/μref × 100:</t>
  </si>
  <si>
    <t xml:space="preserve">Recovery (%) = x̄/μref × 100:</t>
  </si>
  <si>
    <t xml:space="preserve">Status (Bias ≤ ±5%?):</t>
  </si>
  <si>
    <t xml:space="preserve">GRUBBS TESTI — Outlier aniqlash (ISO 5725-2)</t>
  </si>
  <si>
    <t xml:space="preserve">G_hisob = |x_shubhali − x̄| / s    →    G_hisob &gt; G_krit (α=0.05) bo'lsa — outlier</t>
  </si>
  <si>
    <t xml:space="preserve">Shubhali qiymat (x_shubhali):</t>
  </si>
  <si>
    <t xml:space="preserve">G_hisob:</t>
  </si>
  <si>
    <t xml:space="preserve">G_krit (n=10, α=0.05) = 2.290:</t>
  </si>
  <si>
    <t xml:space="preserve">Xulosa:</t>
  </si>
  <si>
    <t xml:space="preserve">Dixon Q-test (n≤7): Q = |x_shubhali − x_yaqin| / Range. Q_krit(n=7,α=0.05)=0.570. Agar ma'lumotlar normal taqsilanmagan bo'lsa — Hampel: median ± 3×MAD ishlating.</t>
  </si>
  <si>
    <t xml:space="preserve">MODUL 3 — IQC MONITORING (Levey-Jennings / Westgard)</t>
  </si>
  <si>
    <t xml:space="preserve">ISO/IEC 17025 Cl.7.7 | Westgard 6 qoidasi | ILAC-G24</t>
  </si>
  <si>
    <t xml:space="preserve">NAZORAT CHEGARALARI SOZLASH</t>
  </si>
  <si>
    <t xml:space="preserve">Analitik nomi:</t>
  </si>
  <si>
    <t xml:space="preserve">Birlik:</t>
  </si>
  <si>
    <t xml:space="preserve">X̄ (target mean):</t>
  </si>
  <si>
    <t xml:space="preserve">SD (nazorat SD):</t>
  </si>
  <si>
    <t xml:space="preserve">+3s UCL (Harakatlar chegarasi):</t>
  </si>
  <si>
    <t xml:space="preserve">+2s UWL (Ogohlantirish):</t>
  </si>
  <si>
    <t xml:space="preserve">+1s:</t>
  </si>
  <si>
    <t xml:space="preserve">Target (X̄):</t>
  </si>
  <si>
    <t xml:space="preserve">−1s:</t>
  </si>
  <si>
    <t xml:space="preserve">−2s LWL (Ogohlantirish):</t>
  </si>
  <si>
    <t xml:space="preserve">−3s LCL (Harakatlar chegarasi):</t>
  </si>
  <si>
    <t xml:space="preserve">IQC NATIJALAR JADVALI (30 kun)</t>
  </si>
  <si>
    <t xml:space="preserve">Sana</t>
  </si>
  <si>
    <t xml:space="preserve">IQC qiymati</t>
  </si>
  <si>
    <t xml:space="preserve">z-score
(x−X̄)/s</t>
  </si>
  <si>
    <t xml:space="preserve">+3s</t>
  </si>
  <si>
    <t xml:space="preserve">+2s</t>
  </si>
  <si>
    <t xml:space="preserve">−2s</t>
  </si>
  <si>
    <t xml:space="preserve">−3s</t>
  </si>
  <si>
    <t xml:space="preserve">WESTGARD STATUS</t>
  </si>
  <si>
    <t xml:space="preserve">WESTGARD QOIDALARI — QISQACHA</t>
  </si>
  <si>
    <t xml:space="preserve">Qoida</t>
  </si>
  <si>
    <t xml:space="preserve">Ta'rif</t>
  </si>
  <si>
    <t xml:space="preserve">1₂s</t>
  </si>
  <si>
    <t xml:space="preserve">1 ta natija ±2s dan tashqarida — OGOHLANTIRISH (tekshiring)</t>
  </si>
  <si>
    <t xml:space="preserve">1₃s</t>
  </si>
  <si>
    <t xml:space="preserve">1 ta natija ±3s dan tashqarida — HARAKATLAR (to'xtating)</t>
  </si>
  <si>
    <t xml:space="preserve">2₂s</t>
  </si>
  <si>
    <t xml:space="preserve">Ketma-ket 2 ta natija bir tomonda ±2s — HARAKATLAR (sistemik xato)</t>
  </si>
  <si>
    <t xml:space="preserve">R₄s</t>
  </si>
  <si>
    <t xml:space="preserve">1 partiya ichida max−min &gt; 4s — HARAKATLAR (tasodifiy xato)</t>
  </si>
  <si>
    <t xml:space="preserve">4₁s</t>
  </si>
  <si>
    <t xml:space="preserve">Ketma-ket 4 ta natija bir tomonda ±1s — OGOHLANTIRISH (trend)</t>
  </si>
  <si>
    <t xml:space="preserve">10ₓ</t>
  </si>
  <si>
    <t xml:space="preserve">Ketma-ket 10 ta natija X̄ ning bir tomonida — HARAKATLAR (drift)</t>
  </si>
  <si>
    <t xml:space="preserve">MODUL 4 — O'LCHOV NOANIQLIK (Measurement Uncertainty)</t>
  </si>
  <si>
    <t xml:space="preserve">GUM JCGM 100:2008 | EURACHEM/CITAC CG4 | EA-4/02 M:2022</t>
  </si>
  <si>
    <t xml:space="preserve">METOD VA ANALITIK MA'LUMOTLAR</t>
  </si>
  <si>
    <t xml:space="preserve">Analitik / Analit nomi:</t>
  </si>
  <si>
    <t xml:space="preserve">Metod (ISO/EN/BS/SANTE):</t>
  </si>
  <si>
    <t xml:space="preserve">Matriks (siydik/qon/suv/o'simlik):</t>
  </si>
  <si>
    <t xml:space="preserve">Birlik (ng/mL, mg/kg, μg/L):</t>
  </si>
  <si>
    <t xml:space="preserve">Hisoblash metodi (Top-down / Bottom-up):</t>
  </si>
  <si>
    <t xml:space="preserve">TOP-DOWN YONDASHUV (IQC ma'lumotlaridan)</t>
  </si>
  <si>
    <t xml:space="preserve">u_combined = √[ u²(repeatability) + u²(reproducibility) + u²(bias) ]   →   U = k × u_combined    (k=2, ~95% ishonch)</t>
  </si>
  <si>
    <t xml:space="preserve">u_repeatability  (sr — kunlik tekrorlash SD):</t>
  </si>
  <si>
    <t xml:space="preserve">u_reproducibility (sI — kunlararo intermediate SD):</t>
  </si>
  <si>
    <t xml:space="preserve">u_bias  (|Bias%|/100 × x̄):</t>
  </si>
  <si>
    <t xml:space="preserve">u_combined = √(u_r² + u_R² + u_b²):</t>
  </si>
  <si>
    <t xml:space="preserve">Relative u_combined (%):</t>
  </si>
  <si>
    <t xml:space="preserve">Expanded U  (k=2, ~95%):</t>
  </si>
  <si>
    <t xml:space="preserve">Relative U% (k=2):</t>
  </si>
  <si>
    <t xml:space="preserve">BOTTOM-UP — NOANIQLIK BYUDJETI</t>
  </si>
  <si>
    <t xml:space="preserve">Noaniqlik manbai</t>
  </si>
  <si>
    <t xml:space="preserve">Qiymat (a)</t>
  </si>
  <si>
    <t xml:space="preserve">Taqsimot
(N/R/T)</t>
  </si>
  <si>
    <t xml:space="preserve">Divisor</t>
  </si>
  <si>
    <t xml:space="preserve">u(xi)</t>
  </si>
  <si>
    <t xml:space="preserve">u(xi)² / uc² (%)</t>
  </si>
  <si>
    <t xml:space="preserve">Izoh</t>
  </si>
  <si>
    <t xml:space="preserve">Kalibrlash standartining sofligi</t>
  </si>
  <si>
    <t xml:space="preserve">0.005</t>
  </si>
  <si>
    <t xml:space="preserve">R</t>
  </si>
  <si>
    <t xml:space="preserve">1.7321</t>
  </si>
  <si>
    <t xml:space="preserve">CRM sertifikatidan</t>
  </si>
  <si>
    <t xml:space="preserve">Tarozilay tortish og'ishi</t>
  </si>
  <si>
    <t xml:space="preserve">0.0001</t>
  </si>
  <si>
    <t xml:space="preserve">Tosh sertifikatidan</t>
  </si>
  <si>
    <t xml:space="preserve">Hajmiy idish (pipetka/kolba)</t>
  </si>
  <si>
    <t xml:space="preserve">0.05</t>
  </si>
  <si>
    <t xml:space="preserve">Sertifikat/rul</t>
  </si>
  <si>
    <t xml:space="preserve">Ekstraksiya unumi (Recovery)</t>
  </si>
  <si>
    <t xml:space="preserve">N</t>
  </si>
  <si>
    <t xml:space="preserve">1</t>
  </si>
  <si>
    <t xml:space="preserve">Validatsiya SD</t>
  </si>
  <si>
    <t xml:space="preserve">Matritsa ta'siri (ion suppression)</t>
  </si>
  <si>
    <t xml:space="preserve">IS monitoring</t>
  </si>
  <si>
    <t xml:space="preserve">Asbob kalibratsiyasi</t>
  </si>
  <si>
    <t xml:space="preserve">IQC SD</t>
  </si>
  <si>
    <t xml:space="preserve">Harorat ta'siri</t>
  </si>
  <si>
    <t xml:space="preserve">0.002</t>
  </si>
  <si>
    <t xml:space="preserve">Texnik ma'lumotnoma</t>
  </si>
  <si>
    <t xml:space="preserve">uc (combined) = √Σu(xi)²:</t>
  </si>
  <si>
    <t xml:space="preserve">U = 2 × uc (k=2, ~95%):</t>
  </si>
  <si>
    <t xml:space="preserve">NATIJA TAQDIMOT FORMATI (ISO/IEC 17025 Cl.7.8.3)</t>
  </si>
  <si>
    <t xml:space="preserve">Tavsiya etilgan format: "[Analitik]: [x̄] [birlik] ± [U] [birlik]; U k=2 da hisoblangan (~95% ishonch oralig'i); NIST/LGC/BAM CRM ga nisbatan kuzatilishi ta'minlangan."</t>
  </si>
  <si>
    <t xml:space="preserve">Muvofiqlik shartidir: U ≤ (1/3) × tolerans. Agar U &gt; 1/3 × tolerans — metod maqsad uchun yaroqsiz, optimallashtirish zarur.</t>
  </si>
  <si>
    <t xml:space="preserve">MODUL 5 — MUVOFIQLIK BAHOLASH VA QAROR QOIDALARI</t>
  </si>
  <si>
    <t xml:space="preserve">ILAC-G8:09/2019 | ISO/IEC 17025:2017 Cl.7.8.6 | ASME B89.7.3.1</t>
  </si>
  <si>
    <t xml:space="preserve">KIRISH PARAMETRLARI</t>
  </si>
  <si>
    <t xml:space="preserve">O'lchangan natija (x):</t>
  </si>
  <si>
    <t xml:space="preserve">Kengaytirilgan noaniqlik U (k=2):</t>
  </si>
  <si>
    <t xml:space="preserve">Maqbullik chegarasi / Cutoff (TL):</t>
  </si>
  <si>
    <t xml:space="preserve">Tolerans kengligi (±δ):</t>
  </si>
  <si>
    <t xml:space="preserve">GUARD BAND HISOBLASH (ILAC-G8)</t>
  </si>
  <si>
    <t xml:space="preserve">Guard Band w = U:</t>
  </si>
  <si>
    <t xml:space="preserve">Qabul qilish zonasi yuqori chegarasi:</t>
  </si>
  <si>
    <t xml:space="preserve">Qabul qilish zonasi quyi chegarasi:</t>
  </si>
  <si>
    <t xml:space="preserve">Qat'iy MUSBAT zona (≥ TL+U):</t>
  </si>
  <si>
    <t xml:space="preserve">Noaniqlik zonasi [TL−U ; TL+U]:</t>
  </si>
  <si>
    <t xml:space="preserve">Qat'iy MANFIY zona (≤ TL−U):</t>
  </si>
  <si>
    <t xml:space="preserve">TUR — Test Uncertainty Ratio</t>
  </si>
  <si>
    <t xml:space="preserve">TUR = δ / U  (ASME B89.7.3.1):</t>
  </si>
  <si>
    <t xml:space="preserve">TUR baholash:</t>
  </si>
  <si>
    <t xml:space="preserve">AVTOMATIK QAROR — ILAC-G8 Qat'iy Guard Band</t>
  </si>
  <si>
    <t xml:space="preserve">QAROR:</t>
  </si>
  <si>
    <t xml:space="preserve">QAROR QOIDALARI TAQQOSLASH (ILAC-G8:2019)</t>
  </si>
  <si>
    <t xml:space="preserve">Qo'llash</t>
  </si>
  <si>
    <t xml:space="preserve">Risk</t>
  </si>
  <si>
    <t xml:space="preserve">Oddiy qabul</t>
  </si>
  <si>
    <t xml:space="preserve">Noaniqlik e'tiborga olinmaydi</t>
  </si>
  <si>
    <t xml:space="preserve">Qonuniy jihatdan zaif</t>
  </si>
  <si>
    <t xml:space="preserve">Taqsimlangan risk</t>
  </si>
  <si>
    <t xml:space="preserve">x &gt; TL → Musbat (U bo'linmaydi)</t>
  </si>
  <si>
    <t xml:space="preserve">Yolg'on ijobiy/salbiy ehtimoli teng</t>
  </si>
  <si>
    <t xml:space="preserve">Qat'iy Guard Band (w=U)</t>
  </si>
  <si>
    <t xml:space="preserve">x ≥ TL+U → Musbat; x ≤ TL−U → Manfiy</t>
  </si>
  <si>
    <t xml:space="preserve">Yolg'on ijobiy minimal — TAVSIYA</t>
  </si>
  <si>
    <t xml:space="preserve">Yumshoq Guard Band</t>
  </si>
  <si>
    <t xml:space="preserve">x ≥ TL−U → Musbat (klinik uchun)</t>
  </si>
  <si>
    <t xml:space="preserve">Yolg'on manfiy minimal</t>
  </si>
  <si>
    <t xml:space="preserve">MODUL 6 — LABORATORIYALARARO TAQQOSLASH</t>
  </si>
  <si>
    <t xml:space="preserve">ISO 13528:2022 | ILAC-P9 | ISO/IEC 17043:2023 | En number</t>
  </si>
  <si>
    <t xml:space="preserve">Z-SCORE HISOBLASH (Laboratoriyamiz natijasi)</t>
  </si>
  <si>
    <t xml:space="preserve">z = (x_lab − x_ref) / σ_p     |z| ≤ 2.0 = Qoniqarli  |  2.0 &lt; |z| ≤ 3.0 = Ogohlantirish  |  |z| &gt; 3.0 = Muvaffaqiyatsiz</t>
  </si>
  <si>
    <t xml:space="preserve">Laboratoriyamiz natijasi (x_lab):</t>
  </si>
  <si>
    <t xml:space="preserve">Mos yozuvlar qiymati (x_ref):</t>
  </si>
  <si>
    <t xml:space="preserve">σ_p (PT o'rnatilgan SD):</t>
  </si>
  <si>
    <t xml:space="preserve">z-score = (x_lab − x_ref) / σ_p:</t>
  </si>
  <si>
    <t xml:space="preserve">|z| baholash:</t>
  </si>
  <si>
    <t xml:space="preserve">En SONI HISOBLASH (Kalibrlash laboratoriyalari — EA-4/02)</t>
  </si>
  <si>
    <t xml:space="preserve">En = (x_lab − x_ref) / √(U_lab² + U_ref²)     |En| ≤ 1.0 = Qoniqarli  |  |En| &gt; 1.0 = Muvaffaqiyatsiz</t>
  </si>
  <si>
    <t xml:space="preserve">x_lab (laboratoriyamiz natijasi):</t>
  </si>
  <si>
    <t xml:space="preserve">U_lab (kengaytirilgan noaniqlik):</t>
  </si>
  <si>
    <t xml:space="preserve">x_ref (mos yozuvlar natijasi):</t>
  </si>
  <si>
    <t xml:space="preserve">U_ref (mos yozuvlar noaniqlik):</t>
  </si>
  <si>
    <t xml:space="preserve">En = (x_lab−x_ref)/√(U_lab²+U_ref²):</t>
  </si>
  <si>
    <t xml:space="preserve">|En| baholash:</t>
  </si>
  <si>
    <t xml:space="preserve">KO'P LABORATORIYA TAQQOSLASH JADVALI</t>
  </si>
  <si>
    <t xml:space="preserve">Laboratoriya</t>
  </si>
  <si>
    <t xml:space="preserve">Natija</t>
  </si>
  <si>
    <t xml:space="preserve">Noaniqlik U</t>
  </si>
  <si>
    <t xml:space="preserve">z-score</t>
  </si>
  <si>
    <t xml:space="preserve">En soni</t>
  </si>
  <si>
    <t xml:space="preserve">Xulosa</t>
  </si>
  <si>
    <t xml:space="preserve">Quyidagi 15 qator — har bir laboratoriya uchun natija kiriting:</t>
  </si>
  <si>
    <t xml:space="preserve">=(D26-xref)/σp — kiriting</t>
  </si>
  <si>
    <t xml:space="preserve">=(D27-xref)/σp — kiriting</t>
  </si>
  <si>
    <t xml:space="preserve">=(D28-xref)/σp — kiriting</t>
  </si>
  <si>
    <t xml:space="preserve">=(D29-xref)/σp — kiriting</t>
  </si>
  <si>
    <t xml:space="preserve">=(D30-xref)/σp — kiriting</t>
  </si>
  <si>
    <t xml:space="preserve">=(D31-xref)/σp — kiriting</t>
  </si>
  <si>
    <t xml:space="preserve">=(D32-xref)/σp — kiriting</t>
  </si>
  <si>
    <t xml:space="preserve">=(D33-xref)/σp — kiriting</t>
  </si>
  <si>
    <t xml:space="preserve">=(D34-xref)/σp — kiriting</t>
  </si>
  <si>
    <t xml:space="preserve">=(D35-xref)/σp — kiriting</t>
  </si>
  <si>
    <t xml:space="preserve">=(D36-xref)/σp — kiriting</t>
  </si>
  <si>
    <t xml:space="preserve">=(D37-xref)/σp — kiriting</t>
  </si>
  <si>
    <t xml:space="preserve">=(D38-xref)/σp — kiriting</t>
  </si>
  <si>
    <t xml:space="preserve">=(D39-xref)/σp — kiriting</t>
  </si>
  <si>
    <t xml:space="preserve">=(D40-xref)/σp — kiriting</t>
  </si>
  <si>
    <t xml:space="preserve">ROBUST STATISTIKA (ISO 13528 — Algorithm A)</t>
  </si>
  <si>
    <t xml:space="preserve">Median (robust o'rtacha):</t>
  </si>
  <si>
    <t xml:space="preserve">MAD = Median|xi−Median|:</t>
  </si>
  <si>
    <t xml:space="preserve">Robust SD (s*) = 1.4826×MAD:</t>
  </si>
  <si>
    <t xml:space="preserve">n (ishtirokchilar):</t>
  </si>
  <si>
    <t xml:space="preserve">ISO 13528 Algorithm A: Robust mean va SD iterativ hisoblash orqali outlierlardan himoyalangan. z-score uchun σ_p = robust SD yoki PT organizer tomonidan belgilangan qiymat ishlating.</t>
  </si>
</sst>
</file>

<file path=xl/styles.xml><?xml version="1.0" encoding="utf-8"?>
<styleSheet xmlns="http://schemas.openxmlformats.org/spreadsheetml/2006/main">
  <numFmts count="9">
    <numFmt numFmtId="164" formatCode="0.000"/>
    <numFmt numFmtId="165" formatCode="0.0000"/>
    <numFmt numFmtId="166" formatCode="0.00"/>
    <numFmt numFmtId="167" formatCode="0.00000E+00"/>
    <numFmt numFmtId="168" formatCode="0.000000"/>
    <numFmt numFmtId="169" formatCode="0"/>
    <numFmt numFmtId="170" formatCode="0.00&quot;%&quot;"/>
    <numFmt numFmtId="171" formatCode="0.00000"/>
    <numFmt numFmtId="172" formatCode="@"/>
  </numFmts>
  <fonts count="13">
    <font>
      <sz val="11"/>
      <color rgb="FF000000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2"/>
      <color rgb="FFFFFFFF"/>
      <name val="Calibri"/>
    </font>
    <font>
      <sz val="11"/>
      <color rgb="FF1F78B4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sz val="11"/>
      <color rgb="FFFFFFFF"/>
      <name val="Calibri"/>
    </font>
    <font>
      <i/>
      <sz val="11"/>
      <color rgb="FF000000"/>
      <name val="Calibri"/>
    </font>
    <font>
      <i/>
      <sz val="9"/>
      <color rgb="FF595959"/>
      <name val="Calibri"/>
    </font>
    <font>
      <b/>
      <sz val="13"/>
      <color rgb="FF000000"/>
      <name val="Calibri"/>
    </font>
    <font>
      <b/>
      <sz val="12"/>
      <color rgb="FF000000"/>
      <name val="Calibri"/>
    </font>
  </fonts>
  <fills count="2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7375E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43F60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D966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4B942"/>
      </patternFill>
    </fill>
    <fill>
      <patternFill patternType="solid">
        <fgColor rgb="FF2E4057"/>
      </patternFill>
    </fill>
    <fill>
      <patternFill patternType="solid">
        <fgColor rgb="FFFFE0E0"/>
      </patternFill>
    </fill>
    <fill>
      <patternFill patternType="solid">
        <fgColor rgb="FFFFF0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1" fillId="4" borderId="1" xfId="0" applyFont="1" applyFill="1" applyBorder="1" applyAlignment="1">
      <alignment horizontal="center" vertical="bottom"/>
    </xf>
    <xf numFmtId="0" fontId="2" fillId="5" borderId="1" xfId="0" applyFont="1" applyFill="1" applyBorder="1" applyAlignment="1">
      <alignment horizontal="center" vertical="bottom"/>
    </xf>
    <xf numFmtId="0" fontId="2" fillId="6" borderId="1" xfId="0" applyFont="1" applyFill="1" applyBorder="1" applyAlignment="1">
      <alignment horizontal="center" vertical="bottom"/>
    </xf>
    <xf numFmtId="0" fontId="3" fillId="7" borderId="1" xfId="0" applyFont="1" applyFill="1" applyBorder="1" applyAlignment="1">
      <alignment horizontal="general" vertical="bottom"/>
    </xf>
    <xf numFmtId="0" fontId="0" fillId="8" borderId="1" xfId="0" applyFont="1" applyFill="1" applyBorder="1" applyAlignment="1">
      <alignment horizontal="general" vertical="bottom"/>
    </xf>
    <xf numFmtId="0" fontId="4" fillId="9" borderId="1" xfId="0" applyFont="1" applyFill="1" applyBorder="1" applyAlignment="1">
      <alignment horizontal="center" vertical="bottom"/>
    </xf>
    <xf numFmtId="0" fontId="2" fillId="4" borderId="1" xfId="0" applyFont="1" applyFill="1" applyBorder="1" applyAlignment="1">
      <alignment horizontal="center" vertical="bottom"/>
    </xf>
    <xf numFmtId="0" fontId="2" fillId="10" borderId="1" xfId="0" applyFont="1" applyFill="1" applyBorder="1" applyAlignment="1">
      <alignment horizontal="general" vertical="bottom"/>
    </xf>
    <xf numFmtId="0" fontId="0" fillId="8" borderId="1" xfId="0" applyFont="1" applyFill="1" applyBorder="1" applyAlignment="1">
      <alignment horizontal="general" vertical="bottom" wrapText="1"/>
    </xf>
    <xf numFmtId="0" fontId="5" fillId="2" borderId="1" xfId="0" applyFont="1" applyFill="1" applyBorder="1" applyAlignment="1">
      <alignment horizontal="center" vertical="bottom"/>
    </xf>
    <xf numFmtId="0" fontId="2" fillId="5" borderId="1" xfId="0" applyFont="1" applyFill="1" applyBorder="1" applyAlignment="1">
      <alignment horizontal="general" vertical="bottom"/>
    </xf>
    <xf numFmtId="0" fontId="2" fillId="11" borderId="1" xfId="0" applyFont="1" applyFill="1" applyBorder="1" applyAlignment="1">
      <alignment horizontal="general" vertical="bottom"/>
    </xf>
    <xf numFmtId="0" fontId="2" fillId="12" borderId="1" xfId="0" applyFont="1" applyFill="1" applyBorder="1" applyAlignment="1">
      <alignment horizontal="general" vertical="bottom"/>
    </xf>
    <xf numFmtId="0" fontId="2" fillId="13" borderId="1" xfId="0" applyFont="1" applyFill="1" applyBorder="1" applyAlignment="1">
      <alignment horizontal="general" vertical="bottom"/>
    </xf>
    <xf numFmtId="0" fontId="2" fillId="14" borderId="1" xfId="0" applyFont="1" applyFill="1" applyBorder="1" applyAlignment="1">
      <alignment horizontal="general" vertical="bottom"/>
    </xf>
    <xf numFmtId="0" fontId="4" fillId="4" borderId="1" xfId="0" applyFont="1" applyFill="1" applyBorder="1" applyAlignment="1">
      <alignment horizontal="center" vertical="bottom"/>
    </xf>
    <xf numFmtId="0" fontId="3" fillId="8" borderId="1" xfId="0" applyFont="1" applyFill="1" applyBorder="1" applyAlignment="1">
      <alignment horizontal="general" vertical="bottom"/>
    </xf>
    <xf numFmtId="0" fontId="3" fillId="3" borderId="1" xfId="0" applyFont="1" applyFill="1" applyBorder="1" applyAlignment="1">
      <alignment horizontal="general" vertical="bottom"/>
    </xf>
    <xf numFmtId="0" fontId="0" fillId="3" borderId="1" xfId="0" applyFont="1" applyFill="1" applyBorder="1" applyAlignment="1">
      <alignment horizontal="general" vertical="bottom"/>
    </xf>
    <xf numFmtId="0" fontId="6" fillId="4" borderId="1" xfId="0" applyFont="1" applyFill="1" applyBorder="1" applyAlignment="1">
      <alignment horizontal="center" vertical="bottom"/>
    </xf>
    <xf numFmtId="0" fontId="2" fillId="15" borderId="1" xfId="0" applyFont="1" applyFill="1" applyBorder="1" applyAlignment="1">
      <alignment horizontal="center" vertical="bottom"/>
    </xf>
    <xf numFmtId="0" fontId="7" fillId="6" borderId="1" xfId="0" applyFont="1" applyFill="1" applyBorder="1" applyAlignment="1">
      <alignment horizontal="center" vertical="bottom" wrapText="1"/>
    </xf>
    <xf numFmtId="0" fontId="0" fillId="8" borderId="1" xfId="0" applyFont="1" applyFill="1" applyBorder="1" applyAlignment="1">
      <alignment horizontal="center" vertical="bottom"/>
    </xf>
    <xf numFmtId="0" fontId="0" fillId="16" borderId="1" xfId="0" applyFont="1" applyFill="1" applyBorder="1" applyAlignment="1">
      <alignment horizontal="general" vertical="bottom"/>
    </xf>
    <xf numFmtId="165" fontId="0" fillId="17" borderId="1" xfId="0" applyFont="1" applyFill="1" applyBorder="1" applyAlignment="1">
      <alignment horizontal="center" vertical="bottom"/>
    </xf>
    <xf numFmtId="166" fontId="0" fillId="8" borderId="1" xfId="0" applyFont="1" applyFill="1" applyBorder="1" applyAlignment="1">
      <alignment horizontal="center" vertical="bottom"/>
    </xf>
    <xf numFmtId="0" fontId="0" fillId="3" borderId="1" xfId="0" applyFont="1" applyFill="1" applyBorder="1" applyAlignment="1">
      <alignment horizontal="center" vertical="bottom"/>
    </xf>
    <xf numFmtId="0" fontId="2" fillId="18" borderId="1" xfId="0" applyFont="1" applyFill="1" applyBorder="1" applyAlignment="1">
      <alignment horizontal="center" vertical="bottom"/>
    </xf>
    <xf numFmtId="167" fontId="0" fillId="17" borderId="1" xfId="0" applyFont="1" applyFill="1" applyBorder="1" applyAlignment="1">
      <alignment horizontal="center" vertical="bottom"/>
    </xf>
    <xf numFmtId="168" fontId="0" fillId="17" borderId="1" xfId="0" applyFont="1" applyFill="1" applyBorder="1" applyAlignment="1">
      <alignment horizontal="center" vertical="bottom"/>
    </xf>
    <xf numFmtId="169" fontId="0" fillId="17" borderId="1" xfId="0" applyFont="1" applyFill="1" applyBorder="1" applyAlignment="1">
      <alignment horizontal="center" vertical="bottom"/>
    </xf>
    <xf numFmtId="0" fontId="2" fillId="19" borderId="1" xfId="0" applyFont="1" applyFill="1" applyBorder="1" applyAlignment="1">
      <alignment horizontal="center" vertical="bottom"/>
    </xf>
    <xf numFmtId="0" fontId="8" fillId="10" borderId="1" xfId="0" applyFont="1" applyFill="1" applyBorder="1" applyAlignment="1">
      <alignment horizontal="center" vertical="bottom"/>
    </xf>
    <xf numFmtId="0" fontId="9" fillId="2" borderId="1" xfId="0" applyFont="1" applyFill="1" applyBorder="1" applyAlignment="1">
      <alignment horizontal="general" vertical="bottom"/>
    </xf>
    <xf numFmtId="0" fontId="0" fillId="20" borderId="1" xfId="0" applyFont="1" applyFill="1" applyBorder="1" applyAlignment="1">
      <alignment horizontal="center" vertical="bottom"/>
    </xf>
    <xf numFmtId="0" fontId="10" fillId="2" borderId="1" xfId="0" applyFont="1" applyFill="1" applyBorder="1" applyAlignment="1">
      <alignment horizontal="general" vertical="bottom"/>
    </xf>
    <xf numFmtId="0" fontId="2" fillId="21" borderId="1" xfId="0" applyFont="1" applyFill="1" applyBorder="1" applyAlignment="1">
      <alignment horizontal="center" vertical="bottom"/>
    </xf>
    <xf numFmtId="165" fontId="0" fillId="8" borderId="1" xfId="0" applyFont="1" applyFill="1" applyBorder="1" applyAlignment="1">
      <alignment horizontal="center" vertical="bottom"/>
    </xf>
    <xf numFmtId="0" fontId="0" fillId="17" borderId="1" xfId="0" applyFont="1" applyFill="1" applyBorder="1" applyAlignment="1">
      <alignment horizontal="center" vertical="bottom"/>
    </xf>
    <xf numFmtId="170" fontId="0" fillId="8" borderId="1" xfId="0" applyFont="1" applyFill="1" applyBorder="1" applyAlignment="1">
      <alignment horizontal="center" vertical="bottom"/>
    </xf>
    <xf numFmtId="165" fontId="0" fillId="3" borderId="1" xfId="0" applyFont="1" applyFill="1" applyBorder="1" applyAlignment="1">
      <alignment horizontal="center" vertical="bottom"/>
    </xf>
    <xf numFmtId="166" fontId="0" fillId="17" borderId="1" xfId="0" applyFont="1" applyFill="1" applyBorder="1" applyAlignment="1">
      <alignment horizontal="center" vertical="bottom"/>
    </xf>
    <xf numFmtId="165" fontId="0" fillId="16" borderId="1" xfId="0" applyFont="1" applyFill="1" applyBorder="1" applyAlignment="1">
      <alignment horizontal="general" vertical="bottom"/>
    </xf>
    <xf numFmtId="165" fontId="8" fillId="13" borderId="1" xfId="0" applyFont="1" applyFill="1" applyBorder="1" applyAlignment="1">
      <alignment horizontal="center" vertical="bottom"/>
    </xf>
    <xf numFmtId="165" fontId="0" fillId="20" borderId="1" xfId="0" applyFont="1" applyFill="1" applyBorder="1" applyAlignment="1">
      <alignment horizontal="center" vertical="bottom"/>
    </xf>
    <xf numFmtId="165" fontId="0" fillId="10" borderId="1" xfId="0" applyFont="1" applyFill="1" applyBorder="1" applyAlignment="1">
      <alignment horizontal="center" vertical="bottom"/>
    </xf>
    <xf numFmtId="0" fontId="2" fillId="6" borderId="1" xfId="0" applyFont="1" applyFill="1" applyBorder="1" applyAlignment="1">
      <alignment horizontal="center" vertical="bottom" wrapText="1"/>
    </xf>
    <xf numFmtId="165" fontId="0" fillId="22" borderId="1" xfId="0" applyFont="1" applyFill="1" applyBorder="1" applyAlignment="1">
      <alignment horizontal="center" vertical="bottom"/>
    </xf>
    <xf numFmtId="165" fontId="0" fillId="23" borderId="1" xfId="0" applyFont="1" applyFill="1" applyBorder="1" applyAlignment="1">
      <alignment horizontal="center" vertical="bottom"/>
    </xf>
    <xf numFmtId="0" fontId="3" fillId="8" borderId="1" xfId="0" applyFont="1" applyFill="1" applyBorder="1" applyAlignment="1">
      <alignment horizontal="center" vertical="bottom"/>
    </xf>
    <xf numFmtId="0" fontId="3" fillId="3" borderId="1" xfId="0" applyFont="1" applyFill="1" applyBorder="1" applyAlignment="1">
      <alignment horizontal="center" vertical="bottom"/>
    </xf>
    <xf numFmtId="171" fontId="0" fillId="17" borderId="1" xfId="0" applyFont="1" applyFill="1" applyBorder="1" applyAlignment="1">
      <alignment horizontal="center" vertical="bottom"/>
    </xf>
    <xf numFmtId="171" fontId="8" fillId="10" borderId="1" xfId="0" applyFont="1" applyFill="1" applyBorder="1" applyAlignment="1">
      <alignment horizontal="center" vertical="bottom"/>
    </xf>
    <xf numFmtId="166" fontId="8" fillId="10" borderId="1" xfId="0" applyFont="1" applyFill="1" applyBorder="1" applyAlignment="1">
      <alignment horizontal="center" vertical="bottom"/>
    </xf>
    <xf numFmtId="168" fontId="8" fillId="10" borderId="1" xfId="0" applyFont="1" applyFill="1" applyBorder="1" applyAlignment="1">
      <alignment horizontal="center" vertical="bottom"/>
    </xf>
    <xf numFmtId="165" fontId="0" fillId="13" borderId="1" xfId="0" applyFont="1" applyFill="1" applyBorder="1" applyAlignment="1">
      <alignment horizontal="center" vertical="bottom"/>
    </xf>
    <xf numFmtId="172" fontId="0" fillId="17" borderId="1" xfId="0" applyFont="1" applyFill="1" applyBorder="1" applyAlignment="1">
      <alignment horizontal="center" vertical="bottom"/>
    </xf>
    <xf numFmtId="0" fontId="11" fillId="7" borderId="1" xfId="0" applyFont="1" applyFill="1" applyBorder="1" applyAlignment="1">
      <alignment horizontal="general" vertical="bottom"/>
    </xf>
    <xf numFmtId="0" fontId="12" fillId="8" borderId="1" xfId="0" applyFont="1" applyFill="1" applyBorder="1" applyAlignment="1">
      <alignment horizontal="center" vertical="bottom"/>
    </xf>
    <xf numFmtId="0" fontId="9" fillId="8" borderId="1" xfId="0" applyFont="1" applyFill="1" applyBorder="1" applyAlignment="1">
      <alignment horizontal="general" vertical="bottom"/>
    </xf>
    <xf numFmtId="0" fontId="9" fillId="3" borderId="1" xfId="0" applyFont="1" applyFill="1" applyBorder="1" applyAlignment="1">
      <alignment horizontal="general" vertical="bottom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haredStrings" Target="sharedStrings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3" customWidth="1"/>
    <col min="2" max="2" width="28" customWidth="1"/>
    <col min="3" max="3" width="18" customWidth="1"/>
    <col min="4" max="4" width="18" customWidth="1"/>
    <col min="5" max="5" width="18" customWidth="1"/>
    <col min="6" max="6" width="22" customWidth="1"/>
  </cols>
  <sheetData>
    <row r="1" ht="30" customHeight="1">
      <c r="B1" t="s" s="0">
        <v>0</v>
      </c>
    </row>
    <row r="2" ht="20" customHeight="1">
      <c r="B2" t="s" s="1">
        <v>1</v>
      </c>
    </row>
    <row r="4" ht="18" customHeight="1">
      <c r="B4" t="s" s="2">
        <v>2</v>
      </c>
    </row>
    <row r="5">
      <c r="B5" t="s" s="3">
        <v>3</v>
      </c>
      <c r="C5" t="s" s="4">
        <v>4</v>
      </c>
    </row>
    <row r="6">
      <c r="B6" t="s" s="3">
        <v>5</v>
      </c>
      <c r="C6" t="s" s="4">
        <v>4</v>
      </c>
    </row>
    <row r="7">
      <c r="B7" t="s" s="3">
        <v>6</v>
      </c>
      <c r="C7" t="s" s="4">
        <v>4</v>
      </c>
    </row>
    <row r="8">
      <c r="B8" t="s" s="3">
        <v>7</v>
      </c>
      <c r="C8" t="s" s="4">
        <v>4</v>
      </c>
    </row>
    <row r="9">
      <c r="B9" t="s" s="3">
        <v>8</v>
      </c>
      <c r="C9" t="s" s="4">
        <v>9</v>
      </c>
    </row>
    <row r="11" ht="20" customHeight="1">
      <c r="B11" t="s" s="5">
        <v>10</v>
      </c>
    </row>
    <row r="12">
      <c r="B12" t="s" s="6">
        <v>11</v>
      </c>
      <c r="C12" t="s" s="6">
        <v>12</v>
      </c>
      <c r="F12" t="s" s="6">
        <v>13</v>
      </c>
    </row>
    <row r="13" ht="20" customHeight="1">
      <c r="B13" t="s" s="7">
        <v>14</v>
      </c>
      <c r="C13" t="s" s="8">
        <v>15</v>
      </c>
      <c r="F13" t="s" s="9">
        <v>16</v>
      </c>
    </row>
    <row r="14" ht="20" customHeight="1">
      <c r="B14" t="s" s="10">
        <v>17</v>
      </c>
      <c r="C14" t="s" s="8">
        <v>18</v>
      </c>
      <c r="F14" t="s" s="9">
        <v>19</v>
      </c>
    </row>
    <row r="15" ht="20" customHeight="1">
      <c r="B15" t="s" s="11">
        <v>20</v>
      </c>
      <c r="C15" t="s" s="8">
        <v>21</v>
      </c>
      <c r="F15" t="s" s="9">
        <v>22</v>
      </c>
    </row>
    <row r="16" ht="20" customHeight="1">
      <c r="B16" t="s" s="12">
        <v>23</v>
      </c>
      <c r="C16" t="s" s="8">
        <v>24</v>
      </c>
      <c r="F16" t="s" s="9">
        <v>25</v>
      </c>
    </row>
    <row r="17" ht="20" customHeight="1">
      <c r="B17" t="s" s="13">
        <v>26</v>
      </c>
      <c r="C17" t="s" s="8">
        <v>27</v>
      </c>
      <c r="F17" t="s" s="9">
        <v>28</v>
      </c>
    </row>
    <row r="18" ht="20" customHeight="1">
      <c r="B18" t="s" s="14">
        <v>29</v>
      </c>
      <c r="C18" t="s" s="8">
        <v>30</v>
      </c>
      <c r="F18" t="s" s="9">
        <v>31</v>
      </c>
    </row>
    <row r="21" ht="20" customHeight="1">
      <c r="B21" t="s" s="15">
        <v>32</v>
      </c>
    </row>
    <row r="22">
      <c r="B22" t="s" s="10">
        <v>33</v>
      </c>
      <c r="C22" t="s" s="10">
        <v>34</v>
      </c>
    </row>
    <row r="23">
      <c r="B23" t="s" s="16">
        <v>35</v>
      </c>
      <c r="C23" t="s" s="4">
        <v>36</v>
      </c>
    </row>
    <row r="24">
      <c r="B24" t="s" s="17">
        <v>37</v>
      </c>
      <c r="C24" t="s" s="18">
        <v>38</v>
      </c>
    </row>
    <row r="25">
      <c r="B25" t="s" s="16">
        <v>39</v>
      </c>
      <c r="C25" t="s" s="4">
        <v>40</v>
      </c>
    </row>
    <row r="26">
      <c r="B26" t="s" s="17">
        <v>41</v>
      </c>
      <c r="C26" t="s" s="18">
        <v>42</v>
      </c>
    </row>
    <row r="27">
      <c r="B27" t="s" s="16">
        <v>43</v>
      </c>
      <c r="C27" t="s" s="4">
        <v>44</v>
      </c>
    </row>
    <row r="28">
      <c r="B28" t="s" s="17">
        <v>45</v>
      </c>
      <c r="C28" t="s" s="18">
        <v>46</v>
      </c>
    </row>
    <row r="29">
      <c r="B29" t="s" s="16">
        <v>47</v>
      </c>
      <c r="C29" t="s" s="4">
        <v>48</v>
      </c>
    </row>
    <row r="30">
      <c r="B30" t="s" s="17">
        <v>49</v>
      </c>
      <c r="C30" t="s" s="18">
        <v>50</v>
      </c>
    </row>
  </sheetData>
  <mergeCells>
    <mergeCell ref="B1:F1"/>
    <mergeCell ref="B2:F2"/>
    <mergeCell ref="B4:F4"/>
    <mergeCell ref="C5:F5"/>
    <mergeCell ref="C6:F6"/>
    <mergeCell ref="C7:F7"/>
    <mergeCell ref="C8:F8"/>
    <mergeCell ref="C9:F9"/>
    <mergeCell ref="B11:F11"/>
    <mergeCell ref="C12:E12"/>
    <mergeCell ref="C13:E13"/>
    <mergeCell ref="C14:E14"/>
    <mergeCell ref="C15:E15"/>
    <mergeCell ref="C16:E16"/>
    <mergeCell ref="C17:E17"/>
    <mergeCell ref="C18:E18"/>
    <mergeCell ref="B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</mergeCells>
</worksheet>
</file>

<file path=xl/worksheets/sheet2.xml><?xml version="1.0" encoding="UTF-8" standalone="yes"?>
<worksheet xmlns="http://schemas.openxmlformats.org/spreadsheetml/2006/main" xmlns:r="http://schemas.openxmlformats.org/officeDocument/2006/relationships">
<sheetViews><sheetView tabSelected="1" workbookViewId="0">
<pane ySplit="1" xSplit="0" topLeftCell="B2" activePane="bottomLeft" state="frozen"/>
</sheetView></sheetViews>
<sheetFormatPr defaultRowHeight="15"/>
<cols>
<col min="1" max="1" width="3" customWidth="1"/>
<col min="2" max="2" width="22" customWidth="1"/>
<col min="3" max="3" width="16" customWidth="1"/>
<col min="4" max="4" width="16" customWidth="1"/>
<col min="5" max="5" width="16" customWidth="1"/>
<col min="6" max="6" width="16" customWidth="1"/>
<col min="7" max="7" width="16" customWidth="1"/>
<col min="8" max="8" width="20" customWidth="1"/>
</cols>
<sheetData>
<row r="1" ht="20" customHeight="1">
<c r="B1" t="s" s="19"><v>51</v></c>
</row>
<row r="2" ht="18" customHeight="1">
<c r="B2" t="s" s="20"><v>52</v></c>
</row>
<row r="4" ht="18" customHeight="1">
<c r="B4" t="s" s="1"><v>53</v></c>
</row>
<row r="5" ht="30" customHeight="1">
<c r="B5" t="s" s="21"><v>54</v></c>
<c r="C5" t="s" s="21"><v>55</v></c>
<c r="D5" t="s" s="21"><v>56</v></c>
<c r="E5" t="s" s="21"><v>57</v></c>
<c r="F5" t="s" s="21"><v>58</v></c>
<c r="G5" t="s" s="21"><v>59</v></c>
<c r="H5" t="s" s="21"><v>60</v></c>
</row>
<row r="6">
<c r="B6" t="n" s="22"><v>1</v></c>
<c r="C6" t="n" s="22"><v>1</v></c>
<c r="D6" t="s" s="23"><v>4</v></c>
<c r="E6" t="s" s="23"><v>4</v></c>
<c r="F6" t="s" s="23"><v>4</v></c>
<c r="G6" s="24"><f>AVERAGE(D6:F6)</f></c>
<c r="H6" s="25"><f>IF(AVERAGE(D6:F6)=0,"—",STDEV(D6:F6)/AVERAGE(D6:F6)*100)</f></c>
</row>
<row r="7">
<c r="B7" t="n" s="26"><v>2</v></c>
<c r="C7" t="n" s="26"><v>5</v></c>
<c r="D7" t="s" s="23"><v>4</v></c>
<c r="E7" t="s" s="23"><v>4</v></c>
<c r="F7" t="s" s="23"><v>4</v></c>
<c r="G7" s="24"><f>AVERAGE(D7:F7)</f></c>
<c r="H7" s="25"><f>IF(AVERAGE(D7:F7)=0,"—",STDEV(D7:F7)/AVERAGE(D7:F7)*100)</f></c>
</row>
<row r="8">
<c r="B8" t="n" s="22"><v>3</v></c>
<c r="C8" t="n" s="22"><v>10</v></c>
<c r="D8" t="s" s="23"><v>4</v></c>
<c r="E8" t="s" s="23"><v>4</v></c>
<c r="F8" t="s" s="23"><v>4</v></c>
<c r="G8" s="24"><f>AVERAGE(D8:F8)</f></c>
<c r="H8" s="25"><f>IF(AVERAGE(D8:F8)=0,"—",STDEV(D8:F8)/AVERAGE(D8:F8)*100)</f></c>
</row>
<row r="9">
<c r="B9" t="n" s="26"><v>4</v></c>
<c r="C9" t="n" s="26"><v>25</v></c>
<c r="D9" t="s" s="23"><v>4</v></c>
<c r="E9" t="s" s="23"><v>4</v></c>
<c r="F9" t="s" s="23"><v>4</v></c>
<c r="G9" s="24"><f>AVERAGE(D9:F9)</f></c>
<c r="H9" s="25"><f>IF(AVERAGE(D9:F9)=0,"—",STDEV(D9:F9)/AVERAGE(D9:F9)*100)</f></c>
</row>
<row r="10">
<c r="B10" t="n" s="22"><v>5</v></c>
<c r="C10" t="n" s="22"><v>50</v></c>
<c r="D10" t="s" s="23"><v>4</v></c>
<c r="E10" t="s" s="23"><v>4</v></c>
<c r="F10" t="s" s="23"><v>4</v></c>
<c r="G10" s="24"><f>AVERAGE(D10:F10)</f></c>
<c r="H10" s="25"><f>IF(AVERAGE(D10:F10)=0,"—",STDEV(D10:F10)/AVERAGE(D10:F10)*100)</f></c>
</row>
<row r="11">
<c r="B11" t="n" s="26"><v>6</v></c>
<c r="C11" t="n" s="26"><v>100</v></c>
<c r="D11" t="s" s="23"><v>4</v></c>
<c r="E11" t="s" s="23"><v>4</v></c>
<c r="F11" t="s" s="23"><v>4</v></c>
<c r="G11" s="24"><f>AVERAGE(D11:F11)</f></c>
<c r="H11" s="25"><f>IF(AVERAGE(D11:F11)=0,"—",STDEV(D11:F11)/AVERAGE(D11:F11)*100)</f></c>
</row>
<row r="12">
<c r="B12" t="n" s="22"><v>7</v></c>
<c r="C12" t="n" s="22"><v>250</v></c>
<c r="D12" t="s" s="23"><v>4</v></c>
<c r="E12" t="s" s="23"><v>4</v></c>
<c r="F12" t="s" s="23"><v>4</v></c>
<c r="G12" s="24"><f>AVERAGE(D12:F12)</f></c>
<c r="H12" s="25"><f>IF(AVERAGE(D12:F12)=0,"—",STDEV(D12:F12)/AVERAGE(D12:F12)*100)</f></c>
</row>
<row r="13">
<c r="B13" t="n" s="26"><v>8</v></c>
<c r="C13" t="n" s="26"><v>500</v></c>
<c r="D13" t="s" s="23"><v>4</v></c>
<c r="E13" t="s" s="23"><v>4</v></c>
<c r="F13" t="s" s="23"><v>4</v></c>
<c r="G13" s="24"><f>AVERAGE(D13:F13)</f></c>
<c r="H13" s="25"><f>IF(AVERAGE(D13:F13)=0,"—",STDEV(D13:F13)/AVERAGE(D13:F13)*100)</f></c>
</row>
<row r="15" ht="18" customHeight="1">
<c r="B15" t="s" s="27"><v>61</v></c>
</row>
<row r="16">
<c r="B16" t="s" s="3"><v>62</v></c>
<c r="C16" s="28"><f>=SLOPE(G6:G13,C6:C13)</f></c>
</row>
<row r="17">
<c r="B17" t="s" s="3"><v>63</v></c>
<c r="C17" s="28"><f>=INTERCEPT(G6:G13,C6:C13)</f></c>
</row>
<row r="18">
<c r="B18" t="s" s="3"><v>64</v></c>
<c r="C18" s="29"><f>=RSQ(G6:G13,C6:C13)</f></c>
</row>
<row r="19">
<c r="B19" t="s" s="3"><v>65</v></c>
<c r="C19" s="29"><f>=CORREL(G6:G13,C6:C13)</f></c>
</row>
<row r="20">
<c r="B20" t="s" s="3"><v>66</v></c>
<c r="C20" s="30"><f>=COUNT(C6:C13)</f></c>
</row>
<row r="21">
<c r="B21" t="s" s="3"><v>67</v></c>
<c r="C21" s="28"><f>=STEYX(G6:G13,C6:C13)</f></c>
</row>
<row r="23" ht="18" customHeight="1">
<c r="B23" t="s" s="31"><v>68</v></c>
</row>
<row r="24">
<c r="B24" t="s" s="3"><v>69</v></c>
<c r="C24" s="32"><f>=3.3*C22/C17</f></c>
<c r="D24" t="s" s="33"><v>70</v></c>
</row>
<row r="25">
<c r="B25" t="s" s="3"><v>71</v></c>
<c r="C25" s="34"><f>=10*C22/C17</f></c>
<c r="D25" t="s" s="33"><v>70</v></c>
</row>
<row r="27">
<c r="B27" t="s" s="35"><v>72</v></c>
</row>
<row r="28">
<c r="B28" t="s" s="35"><v>73</v></c>
</row>
<row r="30" ht="18" customHeight="1">
<c r="B30" t="s" s="36"><v>74</v></c>
</row>
<row r="31">
<c r="B31" t="s" s="1"><v>54</v></c>
<c r="C31" t="s" s="1"><v>75</v></c>
<c r="D31" t="s" s="1"><v>76</v></c>
<c r="E31" t="s" s="1"><v>77</v></c>
<c r="F31" t="s" s="1"><v>78</v></c>
<c r="G31" t="s" s="1"><v>79</v></c>
</row>
<row r="32">
<c r="B32" t="n" s="22"><v>1</v></c>
<c r="C32" s="22"><f>=C6</f></c>
<c r="D32" s="37"><f>=G6</f></c>
<c r="E32" s="38"><f>=IF(C17=0,"",(D32-C18)/C17)</f></c>
<c r="F32" s="39"><f>=IF(C6=0,"",(E32-C6)/C6*100)</f></c>
<c r="G32" s="22"><f>=IF(F32="","—",IF(ABS(F32)<=10,"✔ OK",IF(ABS(F32)<=15,"⚠ LOQ?","✘ REJECT")))</f></c>
</row>
<row r="33">
<c r="B33" t="n" s="26"><v>2</v></c>
<c r="C33" s="26"><f>=C7</f></c>
<c r="D33" s="40"><f>=G7</f></c>
<c r="E33" s="38"><f>=IF(C17=0,"",(D33-C18)/C17)</f></c>
<c r="F33" s="39"><f>=IF(C7=0,"",(E33-C7)/C7*100)</f></c>
<c r="G33" s="26"><f>=IF(F33="","—",IF(ABS(F33)<=10,"✔ OK",IF(ABS(F33)<=15,"⚠ LOQ?","✘ REJECT")))</f></c>
</row>
<row r="34">
<c r="B34" t="n" s="22"><v>3</v></c>
<c r="C34" s="22"><f>=C8</f></c>
<c r="D34" s="37"><f>=G8</f></c>
<c r="E34" s="38"><f>=IF(C17=0,"",(D34-C18)/C17)</f></c>
<c r="F34" s="39"><f>=IF(C8=0,"",(E34-C8)/C8*100)</f></c>
<c r="G34" s="22"><f>=IF(F34="","—",IF(ABS(F34)<=10,"✔ OK",IF(ABS(F34)<=15,"⚠ LOQ?","✘ REJECT")))</f></c>
</row>
<row r="35">
<c r="B35" t="n" s="26"><v>4</v></c>
<c r="C35" s="26"><f>=C9</f></c>
<c r="D35" s="40"><f>=G9</f></c>
<c r="E35" s="38"><f>=IF(C17=0,"",(D35-C18)/C17)</f></c>
<c r="F35" s="39"><f>=IF(C9=0,"",(E35-C9)/C9*100)</f></c>
<c r="G35" s="26"><f>=IF(F35="","—",IF(ABS(F35)<=10,"✔ OK",IF(ABS(F35)<=15,"⚠ LOQ?","✘ REJECT")))</f></c>
</row>
<row r="36">
<c r="B36" t="n" s="22"><v>5</v></c>
<c r="C36" s="22"><f>=C10</f></c>
<c r="D36" s="37"><f>=G10</f></c>
<c r="E36" s="38"><f>=IF(C17=0,"",(D36-C18)/C17)</f></c>
<c r="F36" s="39"><f>=IF(C10=0,"",(E36-C10)/C10*100)</f></c>
<c r="G36" s="22"><f>=IF(F36="","—",IF(ABS(F36)<=10,"✔ OK",IF(ABS(F36)<=15,"⚠ LOQ?","✘ REJECT")))</f></c>
</row>
<row r="37">
<c r="B37" t="n" s="26"><v>6</v></c>
<c r="C37" s="26"><f>=C11</f></c>
<c r="D37" s="40"><f>=G11</f></c>
<c r="E37" s="38"><f>=IF(C17=0,"",(D37-C18)/C17)</f></c>
<c r="F37" s="39"><f>=IF(C11=0,"",(E37-C11)/C11*100)</f></c>
<c r="G37" s="26"><f>=IF(F37="","—",IF(ABS(F37)<=10,"✔ OK",IF(ABS(F37)<=15,"⚠ LOQ?","✘ REJECT")))</f></c>
</row>
<row r="38">
<c r="B38" t="n" s="22"><v>7</v></c>
<c r="C38" s="22"><f>=C12</f></c>
<c r="D38" s="37"><f>=G12</f></c>
<c r="E38" s="38"><f>=IF(C17=0,"",(D38-C18)/C17)</f></c>
<c r="F38" s="39"><f>=IF(C12=0,"",(E38-C12)/C12*100)</f></c>
<c r="G38" s="22"><f>=IF(F38="","—",IF(ABS(F38)<=10,"✔ OK",IF(ABS(F38)<=15,"⚠ LOQ?","✘ REJECT")))</f></c>
</row>
<row r="39">
<c r="B39" t="n" s="26"><v>8</v></c>
<c r="C39" s="26"><f>=C13</f></c>
<c r="D39" s="40"><f>=G13</f></c>
<c r="E39" s="38"><f>=IF(C17=0,"",(D39-C18)/C17)</f></c>
<c r="F39" s="39"><f>=IF(C13=0,"",(E39-C13)/C13*100)</f></c>
<c r="G39" s="26"><f>=IF(F39="","—",IF(ABS(F39)<=10,"✔ OK",IF(ABS(F39)<=15,"⚠ LOQ?","✘ REJECT")))</f></c>
</row>
</sheetData>
<mergeCells>
<mergeCell ref="B1:G1"/>
<mergeCell ref="B2:G2"/>
<mergeCell ref="B4:G4"/>
<mergeCell ref="B15:G15"/>
<mergeCell ref="C16:D16"/>
<mergeCell ref="C17:D17"/>
<mergeCell ref="C18:D18"/>
<mergeCell ref="C19:D19"/>
<mergeCell ref="C20:D20"/>
<mergeCell ref="C21:D21"/>
<mergeCell ref="B23:G23"/>
<mergeCell ref="B27:H27"/>
<mergeCell ref="B28:H28"/>
<mergeCell ref="B30:G30"/>
</mergeCells>
</worksheet>
</file>

<file path=xl/worksheets/sheet3.xml><?xml version="1.0" encoding="UTF-8" standalone="yes"?>
<worksheet xmlns="http://schemas.openxmlformats.org/spreadsheetml/2006/main" xmlns:r="http://schemas.openxmlformats.org/officeDocument/2006/relationships">
<sheetViews><sheetView tabSelected="1" workbookViewId="0">
<pane ySplit="1" xSplit="0" topLeftCell="B2" activePane="bottomLeft" state="frozen"/>
</sheetView></sheetViews>
<sheetFormatPr defaultRowHeight="15"/>
<cols>
<col min="1" max="1" width="3" customWidth="1"/>
<col min="2" max="2" width="24" customWidth="1"/>
<col min="3" max="3" width="14" customWidth="1"/>
<col min="4" max="4" width="14" customWidth="1"/>
<col min="5" max="5" width="14" customWidth="1"/>
<col min="6" max="6" width="14" customWidth="1"/>
<col min="7" max="7" width="14" customWidth="1"/>
<col min="8" max="8" width="18" customWidth="1"/>
<col min="9" max="9" width="14" customWidth="1"/>
</cols>
<sheetData>
<row r="1" ht="20" customHeight="1">
<c r="B1" t="s" s="19"><v>80</v></c>
</row>
<row r="2" ht="18" customHeight="1">
<c r="B2" t="s" s="20"><v>81</v></c>
</row>
<row r="4" ht="18" customHeight="1">
<c r="B4" t="s" s="1"><v>82</v></c>
</row>
<row r="5" ht="22" customHeight="1">
<c r="B5" t="s" s="2"><v>54</v></c>
<c r="C5" t="s" s="2"><v>83</v></c>
</row>
<row r="6">
<c r="B6" t="n" s="22"><v>1</v></c>
<c r="C6" t="s" s="23"><v>4</v></c>
<c r="E6" t="n" s="22"><v>11</v></c>
<c r="F6" t="s" s="23"><v>4</v></c>
</row>
<row r="7">
<c r="B7" t="n" s="22"><v>2</v></c>
<c r="C7" t="s" s="23"><v>4</v></c>
<c r="E7" t="n" s="22"><v>12</v></c>
<c r="F7" t="s" s="23"><v>4</v></c>
</row>
<row r="8">
<c r="B8" t="n" s="22"><v>3</v></c>
<c r="C8" t="s" s="23"><v>4</v></c>
<c r="E8" t="n" s="22"><v>13</v></c>
<c r="F8" t="s" s="23"><v>4</v></c>
</row>
<row r="9">
<c r="B9" t="n" s="22"><v>4</v></c>
<c r="C9" t="s" s="23"><v>4</v></c>
<c r="E9" t="n" s="22"><v>14</v></c>
<c r="F9" t="s" s="23"><v>4</v></c>
</row>
<row r="10">
<c r="B10" t="n" s="22"><v>5</v></c>
<c r="C10" t="s" s="23"><v>4</v></c>
<c r="E10" t="n" s="22"><v>15</v></c>
<c r="F10" t="s" s="23"><v>4</v></c>
</row>
<row r="11">
<c r="B11" t="n" s="22"><v>6</v></c>
<c r="C11" t="s" s="23"><v>4</v></c>
<c r="E11" t="n" s="22"><v>16</v></c>
<c r="F11" t="s" s="23"><v>4</v></c>
</row>
<row r="12">
<c r="B12" t="n" s="22"><v>7</v></c>
<c r="C12" t="s" s="23"><v>4</v></c>
<c r="E12" t="n" s="22"><v>17</v></c>
<c r="F12" t="s" s="23"><v>4</v></c>
</row>
<row r="13">
<c r="B13" t="n" s="22"><v>8</v></c>
<c r="C13" t="s" s="23"><v>4</v></c>
<c r="E13" t="n" s="22"><v>18</v></c>
<c r="F13" t="s" s="23"><v>4</v></c>
</row>
<row r="14">
<c r="B14" t="n" s="22"><v>9</v></c>
<c r="C14" t="s" s="23"><v>4</v></c>
<c r="E14" t="n" s="22"><v>19</v></c>
<c r="F14" t="s" s="23"><v>4</v></c>
</row>
<row r="15">
<c r="B15" t="n" s="22"><v>10</v></c>
<c r="C15" t="s" s="23"><v>4</v></c>
<c r="E15" t="n" s="22"><v>20</v></c>
<c r="F15" t="s" s="23"><v>4</v></c>
</row>
<row r="17" ht="18" customHeight="1">
<c r="B17" t="s" s="27"><v>84</v></c>
</row>
<row r="18">
<c r="B18" t="s" s="3"><v>85</v></c>
<c r="C18" s="30"><f>=COUNT(C6:C15)+COUNT(F6:F15)</f></c>
</row>
<row r="19">
<c r="B19" t="s" s="3"><v>86</v></c>
<c r="C19" s="24"><f>=IFERROR(AVERAGE(C6:C15,F6:F15),"")</f></c>
</row>
<row r="20">
<c r="B20" t="s" s="3"><v>87</v></c>
<c r="C20" s="24"><f>=IFERROR(MEDIAN(C6:C15,F6:F15),"")</f></c>
</row>
<row r="21">
<c r="B21" t="s" s="3"><v>88</v></c>
<c r="C21" s="24"><f>=IFERROR(STDEV(C6:C15,F6:F15),"")</f></c>
</row>
<row r="22">
<c r="B22" t="s" s="3"><v>89</v></c>
<c r="C22" s="29"><f>=IFERROR(VAR(C6:C15,F6:F15),"")</f></c>
</row>
<row r="23">
<c r="B23" t="s" s="3"><v>90</v></c>
<c r="C23" s="41"><f>=IFERROR(STDEV(C6:C15,F6:F15)/AVERAGE(C6:C15,F6:F15)*100,"")</f></c>
</row>
<row r="24">
<c r="B24" t="s" s="3"><v>91</v></c>
<c r="C24" s="24"><f>=IFERROR(MIN(C6:C15,F6:F15),"")</f></c>
</row>
<row r="25">
<c r="B25" t="s" s="3"><v>92</v></c>
<c r="C25" s="24"><f>=IFERROR(MAX(C6:C15,F6:F15),"")</f></c>
</row>
<row r="26">
<c r="B26" t="s" s="3"><v>93</v></c>
<c r="C26" s="24"><f>=IFERROR(MAX(C6:C15,F6:F15)-MIN(C6:C15,F6:F15),"")</f></c>
</row>
<row r="28" ht="18" customHeight="1">
<c r="B28" t="s" s="31"><v>94</v></c>
</row>
<row r="29">
<c r="B29" t="s" s="3"><v>95</v></c>
<c r="C29" t="s" s="42"><v>4</v></c>
</row>
<row r="30">
<c r="B30" t="s" s="3"><v>96</v></c>
<c r="C30" s="41"><f>=IFERROR((C20-C30)/C30*100,"")</f></c>
</row>
<row r="31">
<c r="B31" t="s" s="3"><v>97</v></c>
<c r="C31" s="41"><f>=IFERROR(C20/C30*100,"")</f></c>
</row>
<row r="32">
<c r="B32" t="s" s="3"><v>98</v></c>
<c r="C32" s="22"><f>=IFERROR(IF(ABS(C31)<=5,"✔ QABUL (≤5%)","⚠ TEKSHIRISH KERAK (>5%)"),"Qiymat kiriting")</f></c>
</row>
<row r="34" ht="18" customHeight="1">
<c r="B34" t="s" s="36"><v>99</v></c>
</row>
<row r="35">
<c r="B35" t="s" s="35"><v>100</v></c>
</row>
<row r="36">
<c r="B36" t="s" s="3"><v>101</v></c>
<c r="C36" t="s" s="23"><v>4</v></c>
</row>
<row r="37">
<c r="B37" t="s" s="3"><v>102</v></c>
<c r="C37" s="24"><f>=IFERROR(ABS(C37-C20)/C22,"")</f></c>
</row>
<row r="38">
<c r="B38" t="s" s="3"><v>103</v></c>
<c r="C38" t="n" s="22"><v>2.29</v></c>
</row>
<row r="39">
<c r="B39" t="s" s="3"><v>104</v></c>
<c r="C39" s="22"><f>=IFERROR(IF(C38>C39,"⚠ OUTLIER — chiqarib tashlang","✔ Normal — outlier emas"),"Qiymat kiriting")</f></c>
</row>
<row r="41">
<c r="B41" t="s" s="35"><v>105</v></c>
</row>
</sheetData>
<mergeCells>
<mergeCell ref="B1:H1"/>
<mergeCell ref="B2:H2"/>
<mergeCell ref="B4:H4"/>
<mergeCell ref="C5:I5"/>
<mergeCell ref="B17:H17"/>
<mergeCell ref="C18:D18"/>
<mergeCell ref="C19:D19"/>
<mergeCell ref="C20:D20"/>
<mergeCell ref="C21:D21"/>
<mergeCell ref="C22:D22"/>
<mergeCell ref="C23:D23"/>
<mergeCell ref="C24:D24"/>
<mergeCell ref="C25:D25"/>
<mergeCell ref="C26:D26"/>
<mergeCell ref="B28:H28"/>
<mergeCell ref="C29:D29"/>
<mergeCell ref="C30:D30"/>
<mergeCell ref="C31:D31"/>
<mergeCell ref="C32:D32"/>
<mergeCell ref="B34:H34"/>
<mergeCell ref="B35:I35"/>
<mergeCell ref="C39:E39"/>
<mergeCell ref="B41:I41"/>
</mergeCells>
</worksheet>
</file>

<file path=xl/worksheets/sheet4.xml><?xml version="1.0" encoding="UTF-8" standalone="yes"?>
<worksheet xmlns="http://schemas.openxmlformats.org/spreadsheetml/2006/main" xmlns:r="http://schemas.openxmlformats.org/officeDocument/2006/relationships">
<sheetViews><sheetView tabSelected="1" workbookViewId="0">
<pane ySplit="1" xSplit="0" topLeftCell="B2" activePane="bottomLeft" state="frozen"/>
</sheetView></sheetViews>
<sheetFormatPr defaultRowHeight="15"/>
<cols>
<col min="1" max="1" width="3" customWidth="1"/>
<col min="2" max="2" width="12" customWidth="1"/>
<col min="3" max="3" width="14" customWidth="1"/>
<col min="4" max="4" width="14" customWidth="1"/>
<col min="5" max="5" width="14" customWidth="1"/>
<col min="6" max="6" width="14" customWidth="1"/>
<col min="7" max="7" width="14" customWidth="1"/>
<col min="8" max="8" width="14" customWidth="1"/>
<col min="9" max="9" width="14" customWidth="1"/>
<col min="10" max="10" width="20" customWidth="1"/>
</cols>
<sheetData>
<row r="1" ht="20" customHeight="1">
<c r="B1" t="s" s="19"><v>106</v></c>
</row>
<row r="2" ht="18" customHeight="1">
<c r="B2" t="s" s="20"><v>107</v></c>
</row>
<row r="4" ht="18" customHeight="1">
<c r="B4" t="s" s="2"><v>108</v></c>
</row>
<row r="5">
<c r="B5" t="s" s="3"><v>109</v></c>
<c r="C5" t="s" s="23"><v>4</v></c>
</row>
<row r="6">
<c r="B6" t="s" s="3"><v>110</v></c>
<c r="C6" t="s" s="23"><v>4</v></c>
</row>
<row r="7">
<c r="B7" t="s" s="3"><v>111</v></c>
<c r="C7" t="s" s="42"><v>4</v></c>
</row>
<row r="8">
<c r="B8" t="s" s="3"><v>112</v></c>
<c r="C8" t="s" s="42"><v>4</v></c>
</row>
<row r="10">
<c r="B10" t="s" s="3"><v>113</v></c>
<c r="C10" s="43"><f>=C8+3*C9</f></c>
</row>
<row r="11">
<c r="B11" t="s" s="3"><v>114</v></c>
<c r="C11" s="44"><f>=C8+2*C9</f></c>
</row>
<row r="12">
<c r="B12" t="s" s="3"><v>115</v></c>
<c r="C12" s="24"><f>=C8+1*C9</f></c>
</row>
<row r="13">
<c r="B13" t="s" s="3"><v>116</v></c>
<c r="C13" s="45"><f>=C8</f></c>
</row>
<row r="14">
<c r="B14" t="s" s="3"><v>117</v></c>
<c r="C14" s="24"><f>=C8-1*C9</f></c>
</row>
<row r="15">
<c r="B15" t="s" s="3"><v>118</v></c>
<c r="C15" s="44"><f>=C8-2*C9</f></c>
</row>
<row r="16">
<c r="B16" t="s" s="3"><v>119</v></c>
<c r="C16" s="43"><f>=C8-3*C9</f></c>
</row>
<row r="19" ht="18" customHeight="1">
<c r="B19" t="s" s="1"><v>120</v></c>
</row>
<row r="20" ht="28" customHeight="1">
<c r="B20" t="s" s="46"><v>54</v></c>
<c r="C20" t="s" s="46"><v>121</v></c>
<c r="D20" t="s" s="46"><v>122</v></c>
<c r="E20" t="s" s="46"><v>123</v></c>
<c r="F20" t="s" s="46"><v>124</v></c>
<c r="G20" t="s" s="46"><v>125</v></c>
<c r="H20" t="s" s="46"><v>126</v></c>
<c r="I20" t="s" s="46"><v>127</v></c>
<c r="J20" t="s" s="46"><v>128</v></c>
</row>
<row r="21">
<c r="B21" t="n" s="22"><v>1</v></c>
<c r="C21" t="s" s="23"><v>4</v></c>
<c r="D21" t="s" s="42"><v>4</v></c>
<c r="E21" s="25"><f>=IFERROR((D21-$C$8)/$C$9,"")</f></c>
<c r="F21" s="47"><f>=$C$10</f></c>
<c r="G21" s="48"><f>=$C$11</f></c>
<c r="H21" s="48"><f>=$C$15</f></c>
<c r="I21" s="47"><f>=$C$16</f></c>
<c r="J21" s="22"><f>=IFERROR(IF(D21="","—",IF(OR(D21>=$C$10,D21<=$C$16),"🔴 13s HARAKATLAR",IF(OR(D21>=$C$11,D21<=$C$15),"🟡 12s OGOHLANTIRISH","✅ NAZORAT ICHIDA"))),"—")</f></c>
</row>
<row r="22">
<c r="B22" t="n" s="26"><v>2</v></c>
<c r="C22" t="s" s="23"><v>4</v></c>
<c r="D22" t="s" s="42"><v>4</v></c>
<c r="E22" s="25"><f>=IFERROR((D22-$C$8)/$C$9,"")</f></c>
<c r="F22" s="47"><f>=$C$10</f></c>
<c r="G22" s="48"><f>=$C$11</f></c>
<c r="H22" s="48"><f>=$C$15</f></c>
<c r="I22" s="47"><f>=$C$16</f></c>
<c r="J22" s="26"><f>=IFERROR(IF(D22="","—",IF(OR(D22>=$C$10,D22<=$C$16),"🔴 13s HARAKATLAR",IF(OR(D22>=$C$11,D22<=$C$15),"🟡 12s OGOHLANTIRISH","✅ NAZORAT ICHIDA"))),"—")</f></c>
</row>
<row r="23">
<c r="B23" t="n" s="22"><v>3</v></c>
<c r="C23" t="s" s="23"><v>4</v></c>
<c r="D23" t="s" s="42"><v>4</v></c>
<c r="E23" s="25"><f>=IFERROR((D23-$C$8)/$C$9,"")</f></c>
<c r="F23" s="47"><f>=$C$10</f></c>
<c r="G23" s="48"><f>=$C$11</f></c>
<c r="H23" s="48"><f>=$C$15</f></c>
<c r="I23" s="47"><f>=$C$16</f></c>
<c r="J23" s="22"><f>=IFERROR(IF(D23="","—",IF(OR(D23>=$C$10,D23<=$C$16),"🔴 13s HARAKATLAR",IF(OR(D23>=$C$11,D23<=$C$15),"🟡 12s OGOHLANTIRISH","✅ NAZORAT ICHIDA"))),"—")</f></c>
</row>
<row r="24">
<c r="B24" t="n" s="26"><v>4</v></c>
<c r="C24" t="s" s="23"><v>4</v></c>
<c r="D24" t="s" s="42"><v>4</v></c>
<c r="E24" s="25"><f>=IFERROR((D24-$C$8)/$C$9,"")</f></c>
<c r="F24" s="47"><f>=$C$10</f></c>
<c r="G24" s="48"><f>=$C$11</f></c>
<c r="H24" s="48"><f>=$C$15</f></c>
<c r="I24" s="47"><f>=$C$16</f></c>
<c r="J24" s="26"><f>=IFERROR(IF(D24="","—",IF(OR(D24>=$C$10,D24<=$C$16),"🔴 13s HARAKATLAR",IF(OR(D24>=$C$11,D24<=$C$15),"🟡 12s OGOHLANTIRISH","✅ NAZORAT ICHIDA"))),"—")</f></c>
</row>
<row r="25">
<c r="B25" t="n" s="22"><v>5</v></c>
<c r="C25" t="s" s="23"><v>4</v></c>
<c r="D25" t="s" s="42"><v>4</v></c>
<c r="E25" s="25"><f>=IFERROR((D25-$C$8)/$C$9,"")</f></c>
<c r="F25" s="47"><f>=$C$10</f></c>
<c r="G25" s="48"><f>=$C$11</f></c>
<c r="H25" s="48"><f>=$C$15</f></c>
<c r="I25" s="47"><f>=$C$16</f></c>
<c r="J25" s="22"><f>=IFERROR(IF(D25="","—",IF(OR(D25>=$C$10,D25<=$C$16),"🔴 13s HARAKATLAR",IF(OR(D25>=$C$11,D25<=$C$15),"🟡 12s OGOHLANTIRISH","✅ NAZORAT ICHIDA"))),"—")</f></c>
</row>
<row r="26">
<c r="B26" t="n" s="26"><v>6</v></c>
<c r="C26" t="s" s="23"><v>4</v></c>
<c r="D26" t="s" s="42"><v>4</v></c>
<c r="E26" s="25"><f>=IFERROR((D26-$C$8)/$C$9,"")</f></c>
<c r="F26" s="47"><f>=$C$10</f></c>
<c r="G26" s="48"><f>=$C$11</f></c>
<c r="H26" s="48"><f>=$C$15</f></c>
<c r="I26" s="47"><f>=$C$16</f></c>
<c r="J26" s="26"><f>=IFERROR(IF(D26="","—",IF(OR(D26>=$C$10,D26<=$C$16),"🔴 13s HARAKATLAR",IF(OR(D26>=$C$11,D26<=$C$15),"🟡 12s OGOHLANTIRISH","✅ NAZORAT ICHIDA"))),"—")</f></c>
</row>
<row r="27">
<c r="B27" t="n" s="22"><v>7</v></c>
<c r="C27" t="s" s="23"><v>4</v></c>
<c r="D27" t="s" s="42"><v>4</v></c>
<c r="E27" s="25"><f>=IFERROR((D27-$C$8)/$C$9,"")</f></c>
<c r="F27" s="47"><f>=$C$10</f></c>
<c r="G27" s="48"><f>=$C$11</f></c>
<c r="H27" s="48"><f>=$C$15</f></c>
<c r="I27" s="47"><f>=$C$16</f></c>
<c r="J27" s="22"><f>=IFERROR(IF(D27="","—",IF(OR(D27>=$C$10,D27<=$C$16),"🔴 13s HARAKATLAR",IF(OR(D27>=$C$11,D27<=$C$15),"🟡 12s OGOHLANTIRISH","✅ NAZORAT ICHIDA"))),"—")</f></c>
</row>
<row r="28">
<c r="B28" t="n" s="26"><v>8</v></c>
<c r="C28" t="s" s="23"><v>4</v></c>
<c r="D28" t="s" s="42"><v>4</v></c>
<c r="E28" s="25"><f>=IFERROR((D28-$C$8)/$C$9,"")</f></c>
<c r="F28" s="47"><f>=$C$10</f></c>
<c r="G28" s="48"><f>=$C$11</f></c>
<c r="H28" s="48"><f>=$C$15</f></c>
<c r="I28" s="47"><f>=$C$16</f></c>
<c r="J28" s="26"><f>=IFERROR(IF(D28="","—",IF(OR(D28>=$C$10,D28<=$C$16),"🔴 13s HARAKATLAR",IF(OR(D28>=$C$11,D28<=$C$15),"🟡 12s OGOHLANTIRISH","✅ NAZORAT ICHIDA"))),"—")</f></c>
</row>
<row r="29">
<c r="B29" t="n" s="22"><v>9</v></c>
<c r="C29" t="s" s="23"><v>4</v></c>
<c r="D29" t="s" s="42"><v>4</v></c>
<c r="E29" s="25"><f>=IFERROR((D29-$C$8)/$C$9,"")</f></c>
<c r="F29" s="47"><f>=$C$10</f></c>
<c r="G29" s="48"><f>=$C$11</f></c>
<c r="H29" s="48"><f>=$C$15</f></c>
<c r="I29" s="47"><f>=$C$16</f></c>
<c r="J29" s="22"><f>=IFERROR(IF(D29="","—",IF(OR(D29>=$C$10,D29<=$C$16),"🔴 13s HARAKATLAR",IF(OR(D29>=$C$11,D29<=$C$15),"🟡 12s OGOHLANTIRISH","✅ NAZORAT ICHIDA"))),"—")</f></c>
</row>
<row r="30">
<c r="B30" t="n" s="26"><v>10</v></c>
<c r="C30" t="s" s="23"><v>4</v></c>
<c r="D30" t="s" s="42"><v>4</v></c>
<c r="E30" s="25"><f>=IFERROR((D30-$C$8)/$C$9,"")</f></c>
<c r="F30" s="47"><f>=$C$10</f></c>
<c r="G30" s="48"><f>=$C$11</f></c>
<c r="H30" s="48"><f>=$C$15</f></c>
<c r="I30" s="47"><f>=$C$16</f></c>
<c r="J30" s="26"><f>=IFERROR(IF(D30="","—",IF(OR(D30>=$C$10,D30<=$C$16),"🔴 13s HARAKATLAR",IF(OR(D30>=$C$11,D30<=$C$15),"🟡 12s OGOHLANTIRISH","✅ NAZORAT ICHIDA"))),"—")</f></c>
</row>
<row r="31">
<c r="B31" t="n" s="22"><v>11</v></c>
<c r="C31" t="s" s="23"><v>4</v></c>
<c r="D31" t="s" s="42"><v>4</v></c>
<c r="E31" s="25"><f>=IFERROR((D31-$C$8)/$C$9,"")</f></c>
<c r="F31" s="47"><f>=$C$10</f></c>
<c r="G31" s="48"><f>=$C$11</f></c>
<c r="H31" s="48"><f>=$C$15</f></c>
<c r="I31" s="47"><f>=$C$16</f></c>
<c r="J31" s="22"><f>=IFERROR(IF(D31="","—",IF(OR(D31>=$C$10,D31<=$C$16),"🔴 13s HARAKATLAR",IF(OR(D31>=$C$11,D31<=$C$15),"🟡 12s OGOHLANTIRISH","✅ NAZORAT ICHIDA"))),"—")</f></c>
</row>
<row r="32">
<c r="B32" t="n" s="26"><v>12</v></c>
<c r="C32" t="s" s="23"><v>4</v></c>
<c r="D32" t="s" s="42"><v>4</v></c>
<c r="E32" s="25"><f>=IFERROR((D32-$C$8)/$C$9,"")</f></c>
<c r="F32" s="47"><f>=$C$10</f></c>
<c r="G32" s="48"><f>=$C$11</f></c>
<c r="H32" s="48"><f>=$C$15</f></c>
<c r="I32" s="47"><f>=$C$16</f></c>
<c r="J32" s="26"><f>=IFERROR(IF(D32="","—",IF(OR(D32>=$C$10,D32<=$C$16),"🔴 13s HARAKATLAR",IF(OR(D32>=$C$11,D32<=$C$15),"🟡 12s OGOHLANTIRISH","✅ NAZORAT ICHIDA"))),"—")</f></c>
</row>
<row r="33">
<c r="B33" t="n" s="22"><v>13</v></c>
<c r="C33" t="s" s="23"><v>4</v></c>
<c r="D33" t="s" s="42"><v>4</v></c>
<c r="E33" s="25"><f>=IFERROR((D33-$C$8)/$C$9,"")</f></c>
<c r="F33" s="47"><f>=$C$10</f></c>
<c r="G33" s="48"><f>=$C$11</f></c>
<c r="H33" s="48"><f>=$C$15</f></c>
<c r="I33" s="47"><f>=$C$16</f></c>
<c r="J33" s="22"><f>=IFERROR(IF(D33="","—",IF(OR(D33>=$C$10,D33<=$C$16),"🔴 13s HARAKATLAR",IF(OR(D33>=$C$11,D33<=$C$15),"🟡 12s OGOHLANTIRISH","✅ NAZORAT ICHIDA"))),"—")</f></c>
</row>
<row r="34">
<c r="B34" t="n" s="26"><v>14</v></c>
<c r="C34" t="s" s="23"><v>4</v></c>
<c r="D34" t="s" s="42"><v>4</v></c>
<c r="E34" s="25"><f>=IFERROR((D34-$C$8)/$C$9,"")</f></c>
<c r="F34" s="47"><f>=$C$10</f></c>
<c r="G34" s="48"><f>=$C$11</f></c>
<c r="H34" s="48"><f>=$C$15</f></c>
<c r="I34" s="47"><f>=$C$16</f></c>
<c r="J34" s="26"><f>=IFERROR(IF(D34="","—",IF(OR(D34>=$C$10,D34<=$C$16),"🔴 13s HARAKATLAR",IF(OR(D34>=$C$11,D34<=$C$15),"🟡 12s OGOHLANTIRISH","✅ NAZORAT ICHIDA"))),"—")</f></c>
</row>
<row r="35">
<c r="B35" t="n" s="22"><v>15</v></c>
<c r="C35" t="s" s="23"><v>4</v></c>
<c r="D35" t="s" s="42"><v>4</v></c>
<c r="E35" s="25"><f>=IFERROR((D35-$C$8)/$C$9,"")</f></c>
<c r="F35" s="47"><f>=$C$10</f></c>
<c r="G35" s="48"><f>=$C$11</f></c>
<c r="H35" s="48"><f>=$C$15</f></c>
<c r="I35" s="47"><f>=$C$16</f></c>
<c r="J35" s="22"><f>=IFERROR(IF(D35="","—",IF(OR(D35>=$C$10,D35<=$C$16),"🔴 13s HARAKATLAR",IF(OR(D35>=$C$11,D35<=$C$15),"🟡 12s OGOHLANTIRISH","✅ NAZORAT ICHIDA"))),"—")</f></c>
</row>
<row r="36">
<c r="B36" t="n" s="26"><v>16</v></c>
<c r="C36" t="s" s="23"><v>4</v></c>
<c r="D36" t="s" s="42"><v>4</v></c>
<c r="E36" s="25"><f>=IFERROR((D36-$C$8)/$C$9,"")</f></c>
<c r="F36" s="47"><f>=$C$10</f></c>
<c r="G36" s="48"><f>=$C$11</f></c>
<c r="H36" s="48"><f>=$C$15</f></c>
<c r="I36" s="47"><f>=$C$16</f></c>
<c r="J36" s="26"><f>=IFERROR(IF(D36="","—",IF(OR(D36>=$C$10,D36<=$C$16),"🔴 13s HARAKATLAR",IF(OR(D36>=$C$11,D36<=$C$15),"🟡 12s OGOHLANTIRISH","✅ NAZORAT ICHIDA"))),"—")</f></c>
</row>
<row r="37">
<c r="B37" t="n" s="22"><v>17</v></c>
<c r="C37" t="s" s="23"><v>4</v></c>
<c r="D37" t="s" s="42"><v>4</v></c>
<c r="E37" s="25"><f>=IFERROR((D37-$C$8)/$C$9,"")</f></c>
<c r="F37" s="47"><f>=$C$10</f></c>
<c r="G37" s="48"><f>=$C$11</f></c>
<c r="H37" s="48"><f>=$C$15</f></c>
<c r="I37" s="47"><f>=$C$16</f></c>
<c r="J37" s="22"><f>=IFERROR(IF(D37="","—",IF(OR(D37>=$C$10,D37<=$C$16),"🔴 13s HARAKATLAR",IF(OR(D37>=$C$11,D37<=$C$15),"🟡 12s OGOHLANTIRISH","✅ NAZORAT ICHIDA"))),"—")</f></c>
</row>
<row r="38">
<c r="B38" t="n" s="26"><v>18</v></c>
<c r="C38" t="s" s="23"><v>4</v></c>
<c r="D38" t="s" s="42"><v>4</v></c>
<c r="E38" s="25"><f>=IFERROR((D38-$C$8)/$C$9,"")</f></c>
<c r="F38" s="47"><f>=$C$10</f></c>
<c r="G38" s="48"><f>=$C$11</f></c>
<c r="H38" s="48"><f>=$C$15</f></c>
<c r="I38" s="47"><f>=$C$16</f></c>
<c r="J38" s="26"><f>=IFERROR(IF(D38="","—",IF(OR(D38>=$C$10,D38<=$C$16),"🔴 13s HARAKATLAR",IF(OR(D38>=$C$11,D38<=$C$15),"🟡 12s OGOHLANTIRISH","✅ NAZORAT ICHIDA"))),"—")</f></c>
</row>
<row r="39">
<c r="B39" t="n" s="22"><v>19</v></c>
<c r="C39" t="s" s="23"><v>4</v></c>
<c r="D39" t="s" s="42"><v>4</v></c>
<c r="E39" s="25"><f>=IFERROR((D39-$C$8)/$C$9,"")</f></c>
<c r="F39" s="47"><f>=$C$10</f></c>
<c r="G39" s="48"><f>=$C$11</f></c>
<c r="H39" s="48"><f>=$C$15</f></c>
<c r="I39" s="47"><f>=$C$16</f></c>
<c r="J39" s="22"><f>=IFERROR(IF(D39="","—",IF(OR(D39>=$C$10,D39<=$C$16),"🔴 13s HARAKATLAR",IF(OR(D39>=$C$11,D39<=$C$15),"🟡 12s OGOHLANTIRISH","✅ NAZORAT ICHIDA"))),"—")</f></c>
</row>
<row r="40">
<c r="B40" t="n" s="26"><v>20</v></c>
<c r="C40" t="s" s="23"><v>4</v></c>
<c r="D40" t="s" s="42"><v>4</v></c>
<c r="E40" s="25"><f>=IFERROR((D40-$C$8)/$C$9,"")</f></c>
<c r="F40" s="47"><f>=$C$10</f></c>
<c r="G40" s="48"><f>=$C$11</f></c>
<c r="H40" s="48"><f>=$C$15</f></c>
<c r="I40" s="47"><f>=$C$16</f></c>
<c r="J40" s="26"><f>=IFERROR(IF(D40="","—",IF(OR(D40>=$C$10,D40<=$C$16),"🔴 13s HARAKATLAR",IF(OR(D40>=$C$11,D40<=$C$15),"🟡 12s OGOHLANTIRISH","✅ NAZORAT ICHIDA"))),"—")</f></c>
</row>
<row r="41">
<c r="B41" t="n" s="22"><v>21</v></c>
<c r="C41" t="s" s="23"><v>4</v></c>
<c r="D41" t="s" s="42"><v>4</v></c>
<c r="E41" s="25"><f>=IFERROR((D41-$C$8)/$C$9,"")</f></c>
<c r="F41" s="47"><f>=$C$10</f></c>
<c r="G41" s="48"><f>=$C$11</f></c>
<c r="H41" s="48"><f>=$C$15</f></c>
<c r="I41" s="47"><f>=$C$16</f></c>
<c r="J41" s="22"><f>=IFERROR(IF(D41="","—",IF(OR(D41>=$C$10,D41<=$C$16),"🔴 13s HARAKATLAR",IF(OR(D41>=$C$11,D41<=$C$15),"🟡 12s OGOHLANTIRISH","✅ NAZORAT ICHIDA"))),"—")</f></c>
</row>
<row r="42">
<c r="B42" t="n" s="26"><v>22</v></c>
<c r="C42" t="s" s="23"><v>4</v></c>
<c r="D42" t="s" s="42"><v>4</v></c>
<c r="E42" s="25"><f>=IFERROR((D42-$C$8)/$C$9,"")</f></c>
<c r="F42" s="47"><f>=$C$10</f></c>
<c r="G42" s="48"><f>=$C$11</f></c>
<c r="H42" s="48"><f>=$C$15</f></c>
<c r="I42" s="47"><f>=$C$16</f></c>
<c r="J42" s="26"><f>=IFERROR(IF(D42="","—",IF(OR(D42>=$C$10,D42<=$C$16),"🔴 13s HARAKATLAR",IF(OR(D42>=$C$11,D42<=$C$15),"🟡 12s OGOHLANTIRISH","✅ NAZORAT ICHIDA"))),"—")</f></c>
</row>
<row r="43">
<c r="B43" t="n" s="22"><v>23</v></c>
<c r="C43" t="s" s="23"><v>4</v></c>
<c r="D43" t="s" s="42"><v>4</v></c>
<c r="E43" s="25"><f>=IFERROR((D43-$C$8)/$C$9,"")</f></c>
<c r="F43" s="47"><f>=$C$10</f></c>
<c r="G43" s="48"><f>=$C$11</f></c>
<c r="H43" s="48"><f>=$C$15</f></c>
<c r="I43" s="47"><f>=$C$16</f></c>
<c r="J43" s="22"><f>=IFERROR(IF(D43="","—",IF(OR(D43>=$C$10,D43<=$C$16),"🔴 13s HARAKATLAR",IF(OR(D43>=$C$11,D43<=$C$15),"🟡 12s OGOHLANTIRISH","✅ NAZORAT ICHIDA"))),"—")</f></c>
</row>
<row r="44">
<c r="B44" t="n" s="26"><v>24</v></c>
<c r="C44" t="s" s="23"><v>4</v></c>
<c r="D44" t="s" s="42"><v>4</v></c>
<c r="E44" s="25"><f>=IFERROR((D44-$C$8)/$C$9,"")</f></c>
<c r="F44" s="47"><f>=$C$10</f></c>
<c r="G44" s="48"><f>=$C$11</f></c>
<c r="H44" s="48"><f>=$C$15</f></c>
<c r="I44" s="47"><f>=$C$16</f></c>
<c r="J44" s="26"><f>=IFERROR(IF(D44="","—",IF(OR(D44>=$C$10,D44<=$C$16),"🔴 13s HARAKATLAR",IF(OR(D44>=$C$11,D44<=$C$15),"🟡 12s OGOHLANTIRISH","✅ NAZORAT ICHIDA"))),"—")</f></c>
</row>
<row r="45">
<c r="B45" t="n" s="22"><v>25</v></c>
<c r="C45" t="s" s="23"><v>4</v></c>
<c r="D45" t="s" s="42"><v>4</v></c>
<c r="E45" s="25"><f>=IFERROR((D45-$C$8)/$C$9,"")</f></c>
<c r="F45" s="47"><f>=$C$10</f></c>
<c r="G45" s="48"><f>=$C$11</f></c>
<c r="H45" s="48"><f>=$C$15</f></c>
<c r="I45" s="47"><f>=$C$16</f></c>
<c r="J45" s="22"><f>=IFERROR(IF(D45="","—",IF(OR(D45>=$C$10,D45<=$C$16),"🔴 13s HARAKATLAR",IF(OR(D45>=$C$11,D45<=$C$15),"🟡 12s OGOHLANTIRISH","✅ NAZORAT ICHIDA"))),"—")</f></c>
</row>
<row r="46">
<c r="B46" t="n" s="26"><v>26</v></c>
<c r="C46" t="s" s="23"><v>4</v></c>
<c r="D46" t="s" s="42"><v>4</v></c>
<c r="E46" s="25"><f>=IFERROR((D46-$C$8)/$C$9,"")</f></c>
<c r="F46" s="47"><f>=$C$10</f></c>
<c r="G46" s="48"><f>=$C$11</f></c>
<c r="H46" s="48"><f>=$C$15</f></c>
<c r="I46" s="47"><f>=$C$16</f></c>
<c r="J46" s="26"><f>=IFERROR(IF(D46="","—",IF(OR(D46>=$C$10,D46<=$C$16),"🔴 13s HARAKATLAR",IF(OR(D46>=$C$11,D46<=$C$15),"🟡 12s OGOHLANTIRISH","✅ NAZORAT ICHIDA"))),"—")</f></c>
</row>
<row r="47">
<c r="B47" t="n" s="22"><v>27</v></c>
<c r="C47" t="s" s="23"><v>4</v></c>
<c r="D47" t="s" s="42"><v>4</v></c>
<c r="E47" s="25"><f>=IFERROR((D47-$C$8)/$C$9,"")</f></c>
<c r="F47" s="47"><f>=$C$10</f></c>
<c r="G47" s="48"><f>=$C$11</f></c>
<c r="H47" s="48"><f>=$C$15</f></c>
<c r="I47" s="47"><f>=$C$16</f></c>
<c r="J47" s="22"><f>=IFERROR(IF(D47="","—",IF(OR(D47>=$C$10,D47<=$C$16),"🔴 13s HARAKATLAR",IF(OR(D47>=$C$11,D47<=$C$15),"🟡 12s OGOHLANTIRISH","✅ NAZORAT ICHIDA"))),"—")</f></c>
</row>
<row r="48">
<c r="B48" t="n" s="26"><v>28</v></c>
<c r="C48" t="s" s="23"><v>4</v></c>
<c r="D48" t="s" s="42"><v>4</v></c>
<c r="E48" s="25"><f>=IFERROR((D48-$C$8)/$C$9,"")</f></c>
<c r="F48" s="47"><f>=$C$10</f></c>
<c r="G48" s="48"><f>=$C$11</f></c>
<c r="H48" s="48"><f>=$C$15</f></c>
<c r="I48" s="47"><f>=$C$16</f></c>
<c r="J48" s="26"><f>=IFERROR(IF(D48="","—",IF(OR(D48>=$C$10,D48<=$C$16),"🔴 13s HARAKATLAR",IF(OR(D48>=$C$11,D48<=$C$15),"🟡 12s OGOHLANTIRISH","✅ NAZORAT ICHIDA"))),"—")</f></c>
</row>
<row r="49">
<c r="B49" t="n" s="22"><v>29</v></c>
<c r="C49" t="s" s="23"><v>4</v></c>
<c r="D49" t="s" s="42"><v>4</v></c>
<c r="E49" s="25"><f>=IFERROR((D49-$C$8)/$C$9,"")</f></c>
<c r="F49" s="47"><f>=$C$10</f></c>
<c r="G49" s="48"><f>=$C$11</f></c>
<c r="H49" s="48"><f>=$C$15</f></c>
<c r="I49" s="47"><f>=$C$16</f></c>
<c r="J49" s="22"><f>=IFERROR(IF(D49="","—",IF(OR(D49>=$C$10,D49<=$C$16),"🔴 13s HARAKATLAR",IF(OR(D49>=$C$11,D49<=$C$15),"🟡 12s OGOHLANTIRISH","✅ NAZORAT ICHIDA"))),"—")</f></c>
</row>
<row r="50">
<c r="B50" t="n" s="26"><v>30</v></c>
<c r="C50" t="s" s="23"><v>4</v></c>
<c r="D50" t="s" s="42"><v>4</v></c>
<c r="E50" s="25"><f>=IFERROR((D50-$C$8)/$C$9,"")</f></c>
<c r="F50" s="47"><f>=$C$10</f></c>
<c r="G50" s="48"><f>=$C$11</f></c>
<c r="H50" s="48"><f>=$C$15</f></c>
<c r="I50" s="47"><f>=$C$16</f></c>
<c r="J50" s="26"><f>=IFERROR(IF(D50="","—",IF(OR(D50>=$C$10,D50<=$C$16),"🔴 13s HARAKATLAR",IF(OR(D50>=$C$11,D50<=$C$15),"🟡 12s OGOHLANTIRISH","✅ NAZORAT ICHIDA"))),"—")</f></c>
</row>
<row r="52" ht="18" customHeight="1">
<c r="B52" t="s" s="36"><v>129</v></c>
</row>
<row r="53">
<c r="B53" t="s" s="1"><v>130</v></c>
<c r="C53" t="s" s="10"><v>131</v></c>
</row>
<row r="54">
<c r="B54" t="s" s="49"><v>132</v></c>
<c r="C54" t="s" s="4"><v>133</v></c>
</row>
<row r="55">
<c r="B55" t="s" s="50"><v>134</v></c>
<c r="C55" t="s" s="18"><v>135</v></c>
</row>
<row r="56">
<c r="B56" t="s" s="49"><v>136</v></c>
<c r="C56" t="s" s="4"><v>137</v></c>
</row>
<row r="57">
<c r="B57" t="s" s="50"><v>138</v></c>
<c r="C57" t="s" s="18"><v>139</v></c>
</row>
<row r="58">
<c r="B58" t="s" s="49"><v>140</v></c>
<c r="C58" t="s" s="4"><v>141</v></c>
</row>
<row r="59">
<c r="B59" t="s" s="50"><v>142</v></c>
<c r="C59" t="s" s="18"><v>143</v></c>
</row>
</sheetData>
<mergeCells>
<mergeCell ref="B1:I1"/>
<mergeCell ref="B2:I2"/>
<mergeCell ref="B4:I4"/>
<mergeCell ref="C5:E5"/>
<mergeCell ref="B19:I19"/>
<mergeCell ref="B52:I52"/>
<mergeCell ref="C53:J53"/>
<mergeCell ref="C54:J54"/>
<mergeCell ref="C55:J55"/>
<mergeCell ref="C56:J56"/>
<mergeCell ref="C57:J57"/>
<mergeCell ref="C58:J58"/>
<mergeCell ref="C59:J59"/>
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xSplit="0" topLeftCell="B2" activePane="bottomLeft" state="frozen"/>
    </sheetView>
  </sheetViews>
  <sheetFormatPr defaultRowHeight="15"/>
  <cols>
    <col min="1" max="1" width="3" customWidth="1"/>
    <col min="2" max="2" width="28" customWidth="1"/>
    <col min="3" max="3" width="16" customWidth="1"/>
    <col min="4" max="4" width="16" customWidth="1"/>
    <col min="5" max="5" width="16" customWidth="1"/>
    <col min="6" max="6" width="14" customWidth="1"/>
    <col min="7" max="7" width="14" customWidth="1"/>
    <col min="8" max="8" width="18" customWidth="1"/>
  </cols>
  <sheetData>
    <row r="1" ht="20" customHeight="1">
      <c r="B1" t="s" s="19">
        <v>144</v>
      </c>
    </row>
    <row r="2" ht="18" customHeight="1">
      <c r="B2" t="s" s="20">
        <v>145</v>
      </c>
    </row>
    <row r="4" ht="18" customHeight="1">
      <c r="B4" t="s" s="2">
        <v>146</v>
      </c>
    </row>
    <row r="5">
      <c r="B5" t="s" s="3">
        <v>147</v>
      </c>
      <c r="C5" t="s" s="23">
        <v>4</v>
      </c>
    </row>
    <row r="6">
      <c r="B6" t="s" s="3">
        <v>148</v>
      </c>
      <c r="C6" t="s" s="23">
        <v>4</v>
      </c>
    </row>
    <row r="7">
      <c r="B7" t="s" s="3">
        <v>149</v>
      </c>
      <c r="C7" t="s" s="23">
        <v>4</v>
      </c>
    </row>
    <row r="8">
      <c r="B8" t="s" s="3">
        <v>150</v>
      </c>
      <c r="C8" t="s" s="23">
        <v>4</v>
      </c>
    </row>
    <row r="9">
      <c r="B9" t="s" s="3">
        <v>151</v>
      </c>
      <c r="C9" t="s" s="23">
        <v>4</v>
      </c>
    </row>
    <row r="12" ht="18" customHeight="1">
      <c r="B12" t="s" s="27">
        <v>152</v>
      </c>
    </row>
    <row r="13">
      <c r="B13" t="s" s="35">
        <v>153</v>
      </c>
    </row>
    <row r="14">
      <c r="B14" t="s" s="3">
        <v>154</v>
      </c>
      <c r="C14" t="s" s="42">
        <v>4</v>
      </c>
    </row>
    <row r="15">
      <c r="B15" t="s" s="3">
        <v>155</v>
      </c>
      <c r="C15" t="s" s="42">
        <v>4</v>
      </c>
    </row>
    <row r="16">
      <c r="B16" t="s" s="3">
        <v>156</v>
      </c>
      <c r="C16" t="s" s="42">
        <v>4</v>
      </c>
    </row>
    <row r="17">
      <c r="B17" t="s" s="3">
        <v>157</v>
      </c>
      <c r="C17" s="51">
        <f>=IFERROR(SQRT(C15^2+C16^2+C17^2),"")</f>
      </c>
    </row>
    <row r="18">
      <c r="B18" t="s" s="3">
        <v>158</v>
      </c>
      <c r="C18" s="41">
        <f>=IFERROR(C18/AVERAGE(C6:C6)*100,"")</f>
      </c>
    </row>
    <row r="19">
      <c r="B19" t="s" s="3">
        <v>159</v>
      </c>
      <c r="C19" s="52">
        <f>=IFERROR(2*C18,"")</f>
      </c>
    </row>
    <row r="20">
      <c r="B20" t="s" s="3">
        <v>160</v>
      </c>
      <c r="C20" s="53">
        <f>=IFERROR(2*C19,"")</f>
      </c>
    </row>
    <row r="23" ht="18" customHeight="1">
      <c r="B23" t="s" s="31">
        <v>161</v>
      </c>
    </row>
    <row r="24" ht="28" customHeight="1">
      <c r="B24" t="s" s="46">
        <v>162</v>
      </c>
      <c r="C24" t="s" s="46">
        <v>163</v>
      </c>
      <c r="D24" t="s" s="46">
        <v>164</v>
      </c>
      <c r="E24" t="s" s="46">
        <v>165</v>
      </c>
      <c r="F24" t="s" s="46">
        <v>166</v>
      </c>
      <c r="G24" t="s" s="46">
        <v>167</v>
      </c>
      <c r="H24" t="s" s="46">
        <v>168</v>
      </c>
    </row>
    <row r="25">
      <c r="B25" t="s" s="4">
        <v>169</v>
      </c>
      <c r="C25" t="s" s="4">
        <v>170</v>
      </c>
      <c r="D25" t="s" s="4">
        <v>171</v>
      </c>
      <c r="E25" t="s" s="4">
        <v>172</v>
      </c>
      <c r="F25" s="29">
        <f>=IFERROR(IF(C25="","",C25/E25),"")</f>
      </c>
      <c r="G25" s="22">
        <f>""</f>
      </c>
      <c r="H25" t="s" s="4">
        <v>173</v>
      </c>
    </row>
    <row r="26">
      <c r="B26" t="s" s="18">
        <v>174</v>
      </c>
      <c r="C26" t="s" s="18">
        <v>175</v>
      </c>
      <c r="D26" t="s" s="18">
        <v>171</v>
      </c>
      <c r="E26" t="s" s="18">
        <v>172</v>
      </c>
      <c r="F26" s="29">
        <f>=IFERROR(IF(C26="","",C26/E26),"")</f>
      </c>
      <c r="G26" s="22">
        <f>""</f>
      </c>
      <c r="H26" t="s" s="18">
        <v>176</v>
      </c>
    </row>
    <row r="27">
      <c r="B27" t="s" s="4">
        <v>177</v>
      </c>
      <c r="C27" t="s" s="4">
        <v>178</v>
      </c>
      <c r="D27" t="s" s="4">
        <v>171</v>
      </c>
      <c r="E27" t="s" s="4">
        <v>172</v>
      </c>
      <c r="F27" s="29">
        <f>=IFERROR(IF(C27="","",C27/E27),"")</f>
      </c>
      <c r="G27" s="22">
        <f>""</f>
      </c>
      <c r="H27" t="s" s="4">
        <v>179</v>
      </c>
    </row>
    <row r="28">
      <c r="B28" t="s" s="18">
        <v>180</v>
      </c>
      <c r="C28" t="s" s="18">
        <v>4</v>
      </c>
      <c r="D28" t="s" s="18">
        <v>181</v>
      </c>
      <c r="E28" t="s" s="18">
        <v>182</v>
      </c>
      <c r="F28" s="29">
        <f>=IFERROR(IF(C28="","",C28/E28),"")</f>
      </c>
      <c r="G28" s="22">
        <f>""</f>
      </c>
      <c r="H28" t="s" s="18">
        <v>183</v>
      </c>
    </row>
    <row r="29">
      <c r="B29" t="s" s="4">
        <v>184</v>
      </c>
      <c r="C29" t="s" s="4">
        <v>4</v>
      </c>
      <c r="D29" t="s" s="4">
        <v>181</v>
      </c>
      <c r="E29" t="s" s="4">
        <v>182</v>
      </c>
      <c r="F29" s="29">
        <f>=IFERROR(IF(C29="","",C29/E29),"")</f>
      </c>
      <c r="G29" s="22">
        <f>""</f>
      </c>
      <c r="H29" t="s" s="4">
        <v>185</v>
      </c>
    </row>
    <row r="30">
      <c r="B30" t="s" s="18">
        <v>186</v>
      </c>
      <c r="C30" t="s" s="18">
        <v>4</v>
      </c>
      <c r="D30" t="s" s="18">
        <v>181</v>
      </c>
      <c r="E30" t="s" s="18">
        <v>182</v>
      </c>
      <c r="F30" s="29">
        <f>=IFERROR(IF(C30="","",C30/E30),"")</f>
      </c>
      <c r="G30" s="22">
        <f>""</f>
      </c>
      <c r="H30" t="s" s="18">
        <v>187</v>
      </c>
    </row>
    <row r="31">
      <c r="B31" t="s" s="4">
        <v>188</v>
      </c>
      <c r="C31" t="s" s="4">
        <v>189</v>
      </c>
      <c r="D31" t="s" s="4">
        <v>171</v>
      </c>
      <c r="E31" t="s" s="4">
        <v>172</v>
      </c>
      <c r="F31" s="29">
        <f>=IFERROR(IF(C31="","",C31/E31),"")</f>
      </c>
      <c r="G31" s="22">
        <f>""</f>
      </c>
      <c r="H31" t="s" s="4">
        <v>190</v>
      </c>
    </row>
    <row r="32">
      <c r="B32" t="s" s="3">
        <v>191</v>
      </c>
      <c r="C32" s="54">
        <f>=IFERROR(SQRT(SUMPRODUCT(F25:F31^2)),"")</f>
      </c>
    </row>
    <row r="33">
      <c r="B33" t="s" s="3">
        <v>192</v>
      </c>
      <c r="C33" s="54">
        <f>=IFERROR(2*C32,"")</f>
      </c>
    </row>
    <row r="35" ht="18" customHeight="1">
      <c r="B35" t="s" s="36">
        <v>193</v>
      </c>
    </row>
    <row r="36">
      <c r="B36" t="s" s="35">
        <v>194</v>
      </c>
    </row>
    <row r="37">
      <c r="B37" t="s" s="35">
        <v>195</v>
      </c>
    </row>
  </sheetData>
  <mergeCells>
    <mergeCell ref="B1:G1"/>
    <mergeCell ref="B2:G2"/>
    <mergeCell ref="B4:G4"/>
    <mergeCell ref="C5:E5"/>
    <mergeCell ref="C6:E6"/>
    <mergeCell ref="C7:E7"/>
    <mergeCell ref="C8:E8"/>
    <mergeCell ref="C9:E9"/>
    <mergeCell ref="B12:G12"/>
    <mergeCell ref="B13:H13"/>
    <mergeCell ref="C14:D14"/>
    <mergeCell ref="C15:D15"/>
    <mergeCell ref="C16:D16"/>
    <mergeCell ref="C17:D17"/>
    <mergeCell ref="C18:D18"/>
    <mergeCell ref="C19:D19"/>
    <mergeCell ref="C20:D20"/>
    <mergeCell ref="B23:G23"/>
    <mergeCell ref="B35:G35"/>
    <mergeCell ref="B36:H36"/>
    <mergeCell ref="B37:H37"/>
  </mergeCells>
</worksheet>
</file>

<file path=xl/worksheets/sheet6.xml><?xml version="1.0" encoding="UTF-8" standalone="yes"?>
<worksheet xmlns="http://schemas.openxmlformats.org/spreadsheetml/2006/main" xmlns:r="http://schemas.openxmlformats.org/officeDocument/2006/relationships">
<sheetViews><sheetView tabSelected="1" workbookViewId="0">
<pane ySplit="1" xSplit="0" topLeftCell="B2" activePane="bottomLeft" state="frozen"/>
</sheetView></sheetViews>
<sheetFormatPr defaultRowHeight="15"/>
<cols>
<col min="1" max="1" width="3" customWidth="1"/>
<col min="2" max="2" width="26" customWidth="1"/>
<col min="3" max="3" width="16" customWidth="1"/>
<col min="4" max="4" width="16" customWidth="1"/>
<col min="5" max="5" width="16" customWidth="1"/>
<col min="6" max="6" width="16" customWidth="1"/>
<col min="7" max="7" width="18" customWidth="1"/>
</cols>
<sheetData>
<row r="1" ht="20" customHeight="1">
<c r="B1" t="s" s="19"><v>196</v></c>
</row>
<row r="2" ht="18" customHeight="1">
<c r="B2" t="s" s="20"><v>197</v></c>
</row>
<row r="4" ht="18" customHeight="1">
<c r="B4" t="s" s="2"><v>198</v></c>
</row>
<row r="5">
<c r="B5" t="s" s="3"><v>199</v></c>
<c r="C5" t="s" s="42"><v>4</v></c>
</row>
<row r="6">
<c r="B6" t="s" s="3"><v>200</v></c>
<c r="C6" t="s" s="42"><v>4</v></c>
</row>
<row r="7">
<c r="B7" t="s" s="3"><v>201</v></c>
<c r="C7" t="s" s="42"><v>4</v></c>
</row>
<row r="8">
<c r="B8" t="s" s="3"><v>202</v></c>
<c r="C8" t="s" s="42"><v>4</v></c>
</row>
<row r="11" ht="18" customHeight="1">
<c r="B11" t="s" s="27"><v>203</v></c>
</row>
<row r="12">
<c r="B12" t="s" s="3"><v>204</v></c>
<c r="C12" s="24"><f>=$C$6</f></c>
</row>
<row r="13">
<c r="B13" t="s" s="3"><v>205</v></c>
<c r="C13" s="44"><f>=$C$7+$C$6</f></c>
</row>
<row r="14">
<c r="B14" t="s" s="3"><v>206</v></c>
<c r="C14" s="44"><f>=$C$7-$C$6</f></c>
</row>
<row r="15">
<c r="B15" t="s" s="3"><v>207</v></c>
<c r="C15" s="55"><f>=$C$7+$C$6</f></c>
</row>
<row r="16">
<c r="B16" t="s" s="3"><v>208</v></c>
<c r="C16" s="56"><f>="["&TEXT($C$7-$C$6,"0.00")&" ; "&TEXT($C$7+$C$6,"0.00")&"]"</f></c>
</row>
<row r="17">
<c r="B17" t="s" s="3"><v>209</v></c>
<c r="C17" s="45"><f>=$C$7-$C$6</f></c>
</row>
<row r="20" ht="18" customHeight="1">
<c r="B20" t="s" s="31"><v>210</v></c>
</row>
<row r="21">
<c r="B21" t="s" s="3"><v>211</v></c>
<c r="C21" s="41"><f>=IFERROR($C$8/$C$6,"")</f></c>
</row>
<row r="22">
<c r="B22" t="s" s="3"><v>212</v></c>
<c r="C22" s="22"><f>=IFERROR(IF(C21>=4,"✔ TUR≥4: Ishonchli qaror",IF(C21>=2,"⚠ TUR 2-4: Ehtiyotkor bo'ling","🔴 TUR<2: Qaror ishonchsiz — metodni yaxshilang")),"")</f></c>
</row>
<row r="24" ht="18" customHeight="1">
<c r="B24" t="s" s="36"><v>213</v></c>
</row>
<row r="25" ht="26" customHeight="1">
<c r="B25" t="s" s="57"><v>214</v></c>
<c r="C25" s="58"><f>=IFERROR(IF($C$5="","Qiymat kiriting",IF($C$5>=$C$7+$C$6,"🔴 MUSBAT — Chegaradan yuqori (U hisobga olingan)",IF($C$5<=$C$7-$C$6,"✅ MANFIY — Chegaradan past (U hisobga olingan)","🟡 NOANIQLIK ZONASI — Qo'shimcha test zarur"))),"—")</f></c>
</row>
<row r="28" ht="18" customHeight="1">
<c r="B28" t="s" s="6"><v>215</v></c>
</row>
<row r="29">
<c r="B29" t="s" s="10"><v>130</v></c>
<c r="C29" t="s" s="10"><v>216</v></c>
<c r="D29" t="s" s="10"><v>217</v></c>
</row>
<row r="30">
<c r="B30" t="s" s="16"><v>218</v></c>
<c r="C30" t="s" s="4"><v>219</v></c>
<c r="D30" t="s" s="59"><v>220</v></c>
</row>
<row r="31">
<c r="B31" t="s" s="17"><v>221</v></c>
<c r="C31" t="s" s="18"><v>222</v></c>
<c r="D31" t="s" s="60"><v>223</v></c>
</row>
<row r="32">
<c r="B32" t="s" s="16"><v>224</v></c>
<c r="C32" t="s" s="4"><v>225</v></c>
<c r="D32" t="s" s="59"><v>226</v></c>
</row>
<row r="33">
<c r="B33" t="s" s="17"><v>227</v></c>
<c r="C33" t="s" s="18"><v>228</v></c>
<c r="D33" t="s" s="60"><v>229</v></c>
</row>
</sheetData>
<mergeCells>
<mergeCell ref="B1:F1"/>
<mergeCell ref="B2:F2"/>
<mergeCell ref="B4:F4"/>
<mergeCell ref="C5:D5"/>
<mergeCell ref="C6:D6"/>
<mergeCell ref="C7:D7"/>
<mergeCell ref="C8:D8"/>
<mergeCell ref="B11:F11"/>
<mergeCell ref="C12:D12"/>
<mergeCell ref="C13:D13"/>
<mergeCell ref="C14:D14"/>
<mergeCell ref="C15:D15"/>
<mergeCell ref="C16:D16"/>
<mergeCell ref="C17:D17"/>
<mergeCell ref="B20:F20"/>
<mergeCell ref="C21:D21"/>
<mergeCell ref="C22:F22"/>
<mergeCell ref="B24:F24"/>
<mergeCell ref="C25:G25"/>
<mergeCell ref="B28:F28"/>
<mergeCell ref="D29:F29"/>
<mergeCell ref="D30:F30"/>
<mergeCell ref="D31:F31"/>
<mergeCell ref="D32:F32"/>
<mergeCell ref="D33:F33"/>
</mergeCells>
</worksheet>
</file>

<file path=xl/worksheets/sheet7.xml><?xml version="1.0" encoding="UTF-8" standalone="yes"?>
<worksheet xmlns="http://schemas.openxmlformats.org/spreadsheetml/2006/main" xmlns:r="http://schemas.openxmlformats.org/officeDocument/2006/relationships">
<sheetViews><sheetView tabSelected="1" workbookViewId="0">
<pane ySplit="1" xSplit="0" topLeftCell="B2" activePane="bottomLeft" state="frozen"/>
</sheetView></sheetViews>
<sheetFormatPr defaultRowHeight="15"/>
<cols>
<col min="1" max="1" width="3" customWidth="1"/>
<col min="2" max="2" width="24" customWidth="1"/>
<col min="3" max="3" width="14" customWidth="1"/>
<col min="4" max="4" width="14" customWidth="1"/>
<col min="5" max="5" width="14" customWidth="1"/>
<col min="6" max="6" width="14" customWidth="1"/>
<col min="7" max="7" width="14" customWidth="1"/>
<col min="8" max="8" width="14" customWidth="1"/>
<col min="9" max="9" width="16" customWidth="1"/>
</cols>
<sheetData>
<row r="1" ht="20" customHeight="1">
<c r="B1" t="s" s="19"><v>230</v></c>
</row>
<row r="2" ht="18" customHeight="1">
<c r="B2" t="s" s="20"><v>231</v></c>
</row>
<row r="4" ht="18" customHeight="1">
<c r="B4" t="s" s="2"><v>232</v></c>
</row>
<row r="5">
<c r="B5" t="s" s="35"><v>233</v></c>
</row>
<row r="6">
<c r="B6" t="s" s="3"><v>234</v></c>
<c r="C6" t="s" s="42"><v>4</v></c>
</row>
<row r="7">
<c r="B7" t="s" s="3"><v>235</v></c>
<c r="C7" t="s" s="42"><v>4</v></c>
</row>
<row r="8">
<c r="B8" t="s" s="3"><v>236</v></c>
<c r="C8" t="s" s="42"><v>4</v></c>
</row>
<row r="9">
<c r="B9" t="s" s="3"><v>237</v></c>
<c r="C9" s="41"><f>=IFERROR((C7-C8)/C9,"")</f></c>
</row>
<row r="10">
<c r="B10" t="s" s="3"><v>238</v></c>
<c r="C10" s="22"><f>=IFERROR(IF(ABS(C10)<=2,"✅ QONIQARLI (|z|≤2)",IF(ABS(C10)<=3,"⚠ OGOHLANTIRISH (2<|z|≤3)","🔴 MUVAFFAQIYATSIZ (|z|>3)")),"—")</f></c>
</row>
<row r="13" ht="18" customHeight="1">
<c r="B13" t="s" s="27"><v>239</v></c>
</row>
<row r="14">
<c r="B14" t="s" s="35"><v>240</v></c>
</row>
<row r="15">
<c r="B15" t="s" s="3"><v>241</v></c>
<c r="C15" t="s" s="42"><v>4</v></c>
</row>
<row r="16">
<c r="B16" t="s" s="3"><v>242</v></c>
<c r="C16" t="s" s="42"><v>4</v></c>
</row>
<row r="17">
<c r="B17" t="s" s="3"><v>243</v></c>
<c r="C17" t="s" s="42"><v>4</v></c>
</row>
<row r="18">
<c r="B18" t="s" s="3"><v>244</v></c>
<c r="C18" t="s" s="42"><v>4</v></c>
</row>
<row r="19">
<c r="B19" t="s" s="3"><v>245</v></c>
<c r="C19" s="24"><f>=IFERROR((C16-C18)/SQRT(C17^2+C19^2),"")</f></c>
</row>
<row r="20">
<c r="B20" t="s" s="3"><v>246</v></c>
<c r="C20" s="22"><f>=IFERROR(IF(ABS(C20)<=1,"✅ QONIQARLI (|En|≤1)","🔴 MUVAFFAQIYATSIZ (|En|>1)"),"—")</f></c>
</row>
<row r="23" ht="18" customHeight="1">
<c r="B23" t="s" s="36"><v>247</v></c>
</row>
<row r="24">
<c r="B24" t="s" s="2"><v>54</v></c>
<c r="C24" t="s" s="2"><v>248</v></c>
<c r="D24" t="s" s="2"><v>249</v></c>
<c r="E24" t="s" s="2"><v>250</v></c>
<c r="F24" t="s" s="2"><v>251</v></c>
<c r="G24" t="s" s="2"><v>252</v></c>
<c r="H24" t="s" s="2"><v>253</v></c>
</row>
<row r="25">
<c r="B25" t="s" s="35"><v>254</v></c>
</row>
<row r="26">
<c r="B26" t="n" s="22"><v>1</v></c>
<c r="C26" t="s" s="23"><v>4</v></c>
<c r="D26" t="s" s="42"><v>4</v></c>
<c r="E26" t="s" s="42"><v>4</v></c>
<c r="F26" t="s" s="22"><v>255</v></c>
<c r="G26" t="s" s="42"><v>4</v></c>
<c r="H26" s="22"><f>=IF(E26="","—",IF(ABS(E26)<=2,"✅","IF(ABS(E)<=3,"⚠","🔴")"))</f></c>
</row>
<row r="27">
<c r="B27" t="n" s="26"><v>2</v></c>
<c r="C27" t="s" s="23"><v>4</v></c>
<c r="D27" t="s" s="42"><v>4</v></c>
<c r="E27" t="s" s="42"><v>4</v></c>
<c r="F27" t="s" s="22"><v>256</v></c>
<c r="G27" t="s" s="42"><v>4</v></c>
<c r="H27" s="26"><f>=IF(E27="","—",IF(ABS(E27)<=2,"✅","IF(ABS(E)<=3,"⚠","🔴")"))</f></c>
</row>
<row r="28">
<c r="B28" t="n" s="22"><v>3</v></c>
<c r="C28" t="s" s="23"><v>4</v></c>
<c r="D28" t="s" s="42"><v>4</v></c>
<c r="E28" t="s" s="42"><v>4</v></c>
<c r="F28" t="s" s="22"><v>257</v></c>
<c r="G28" t="s" s="42"><v>4</v></c>
<c r="H28" s="22"><f>=IF(E28="","—",IF(ABS(E28)<=2,"✅","IF(ABS(E)<=3,"⚠","🔴")"))</f></c>
</row>
<row r="29">
<c r="B29" t="n" s="26"><v>4</v></c>
<c r="C29" t="s" s="23"><v>4</v></c>
<c r="D29" t="s" s="42"><v>4</v></c>
<c r="E29" t="s" s="42"><v>4</v></c>
<c r="F29" t="s" s="22"><v>258</v></c>
<c r="G29" t="s" s="42"><v>4</v></c>
<c r="H29" s="26"><f>=IF(E29="","—",IF(ABS(E29)<=2,"✅","IF(ABS(E)<=3,"⚠","🔴")"))</f></c>
</row>
<row r="30">
<c r="B30" t="n" s="22"><v>5</v></c>
<c r="C30" t="s" s="23"><v>4</v></c>
<c r="D30" t="s" s="42"><v>4</v></c>
<c r="E30" t="s" s="42"><v>4</v></c>
<c r="F30" t="s" s="22"><v>259</v></c>
<c r="G30" t="s" s="42"><v>4</v></c>
<c r="H30" s="22"><f>=IF(E30="","—",IF(ABS(E30)<=2,"✅","IF(ABS(E)<=3,"⚠","🔴")"))</f></c>
</row>
<row r="31">
<c r="B31" t="n" s="26"><v>6</v></c>
<c r="C31" t="s" s="23"><v>4</v></c>
<c r="D31" t="s" s="42"><v>4</v></c>
<c r="E31" t="s" s="42"><v>4</v></c>
<c r="F31" t="s" s="22"><v>260</v></c>
<c r="G31" t="s" s="42"><v>4</v></c>
<c r="H31" s="26"><f>=IF(E31="","—",IF(ABS(E31)<=2,"✅","IF(ABS(E)<=3,"⚠","🔴")"))</f></c>
</row>
<row r="32">
<c r="B32" t="n" s="22"><v>7</v></c>
<c r="C32" t="s" s="23"><v>4</v></c>
<c r="D32" t="s" s="42"><v>4</v></c>
<c r="E32" t="s" s="42"><v>4</v></c>
<c r="F32" t="s" s="22"><v>261</v></c>
<c r="G32" t="s" s="42"><v>4</v></c>
<c r="H32" s="22"><f>=IF(E32="","—",IF(ABS(E32)<=2,"✅","IF(ABS(E)<=3,"⚠","🔴")"))</f></c>
</row>
<row r="33">
<c r="B33" t="n" s="26"><v>8</v></c>
<c r="C33" t="s" s="23"><v>4</v></c>
<c r="D33" t="s" s="42"><v>4</v></c>
<c r="E33" t="s" s="42"><v>4</v></c>
<c r="F33" t="s" s="22"><v>262</v></c>
<c r="G33" t="s" s="42"><v>4</v></c>
<c r="H33" s="26"><f>=IF(E33="","—",IF(ABS(E33)<=2,"✅","IF(ABS(E)<=3,"⚠","🔴")"))</f></c>
</row>
<row r="34">
<c r="B34" t="n" s="22"><v>9</v></c>
<c r="C34" t="s" s="23"><v>4</v></c>
<c r="D34" t="s" s="42"><v>4</v></c>
<c r="E34" t="s" s="42"><v>4</v></c>
<c r="F34" t="s" s="22"><v>263</v></c>
<c r="G34" t="s" s="42"><v>4</v></c>
<c r="H34" s="22"><f>=IF(E34="","—",IF(ABS(E34)<=2,"✅","IF(ABS(E)<=3,"⚠","🔴")"))</f></c>
</row>
<row r="35">
<c r="B35" t="n" s="26"><v>10</v></c>
<c r="C35" t="s" s="23"><v>4</v></c>
<c r="D35" t="s" s="42"><v>4</v></c>
<c r="E35" t="s" s="42"><v>4</v></c>
<c r="F35" t="s" s="22"><v>264</v></c>
<c r="G35" t="s" s="42"><v>4</v></c>
<c r="H35" s="26"><f>=IF(E35="","—",IF(ABS(E35)<=2,"✅","IF(ABS(E)<=3,"⚠","🔴")"))</f></c>
</row>
<row r="36">
<c r="B36" t="n" s="22"><v>11</v></c>
<c r="C36" t="s" s="23"><v>4</v></c>
<c r="D36" t="s" s="42"><v>4</v></c>
<c r="E36" t="s" s="42"><v>4</v></c>
<c r="F36" t="s" s="22"><v>265</v></c>
<c r="G36" t="s" s="42"><v>4</v></c>
<c r="H36" s="22"><f>=IF(E36="","—",IF(ABS(E36)<=2,"✅","IF(ABS(E)<=3,"⚠","🔴")"))</f></c>
</row>
<row r="37">
<c r="B37" t="n" s="26"><v>12</v></c>
<c r="C37" t="s" s="23"><v>4</v></c>
<c r="D37" t="s" s="42"><v>4</v></c>
<c r="E37" t="s" s="42"><v>4</v></c>
<c r="F37" t="s" s="22"><v>266</v></c>
<c r="G37" t="s" s="42"><v>4</v></c>
<c r="H37" s="26"><f>=IF(E37="","—",IF(ABS(E37)<=2,"✅","IF(ABS(E)<=3,"⚠","🔴")"))</f></c>
</row>
<row r="38">
<c r="B38" t="n" s="22"><v>13</v></c>
<c r="C38" t="s" s="23"><v>4</v></c>
<c r="D38" t="s" s="42"><v>4</v></c>
<c r="E38" t="s" s="42"><v>4</v></c>
<c r="F38" t="s" s="22"><v>267</v></c>
<c r="G38" t="s" s="42"><v>4</v></c>
<c r="H38" s="22"><f>=IF(E38="","—",IF(ABS(E38)<=2,"✅","IF(ABS(E)<=3,"⚠","🔴")"))</f></c>
</row>
<row r="39">
<c r="B39" t="n" s="26"><v>14</v></c>
<c r="C39" t="s" s="23"><v>4</v></c>
<c r="D39" t="s" s="42"><v>4</v></c>
<c r="E39" t="s" s="42"><v>4</v></c>
<c r="F39" t="s" s="22"><v>268</v></c>
<c r="G39" t="s" s="42"><v>4</v></c>
<c r="H39" s="26"><f>=IF(E39="","—",IF(ABS(E39)<=2,"✅","IF(ABS(E)<=3,"⚠","🔴")"))</f></c>
</row>
<row r="40">
<c r="B40" t="n" s="22"><v>15</v></c>
<c r="C40" t="s" s="23"><v>4</v></c>
<c r="D40" t="s" s="42"><v>4</v></c>
<c r="E40" t="s" s="42"><v>4</v></c>
<c r="F40" t="s" s="22"><v>269</v></c>
<c r="G40" t="s" s="42"><v>4</v></c>
<c r="H40" s="22"><f>=IF(E40="","—",IF(ABS(E40)<=2,"✅","IF(ABS(E)<=3,"⚠","🔴")"))</f></c>
</row>
<row r="42" ht="18" customHeight="1">
<c r="B42" t="s" s="6"><v>270</v></c>
</row>
<row r="43">
<c r="B43" t="s" s="3"><v>271</v></c>
<c r="C43" s="24"><f>=IFERROR(MEDIAN(D26:D40),"")</f></c>
</row>
<row r="44">
<c r="B44" t="s" s="3"><v>272</v></c>
<c r="C44" s="24"><f>""</f></c>
</row>
<row r="45">
<c r="B45" t="s" s="3"><v>273</v></c>
<c r="C45" s="24"><f>=IFERROR(1.4826*C45,"")</f></c>
</row>
<row r="46">
<c r="B46" t="s" s="3"><v>274</v></c>
<c r="C46" s="30"><f>=COUNTA(B26:B40)</f></c>
</row>
<row r="48">
<c r="B48" t="s" s="35"><v>275</v></c>
</row>
</sheetData>
<mergeCells>
<mergeCell ref="B1:H1"/>
<mergeCell ref="B2:H2"/>
<mergeCell ref="B4:H4"/>
<mergeCell ref="B5:I5"/>
<mergeCell ref="C6:E6"/>
<mergeCell ref="C7:E7"/>
<mergeCell ref="C8:E8"/>
<mergeCell ref="C9:E9"/>
<mergeCell ref="C10:E10"/>
<mergeCell ref="B13:H13"/>
<mergeCell ref="B14:I14"/>
<mergeCell ref="C15:E15"/>
<mergeCell ref="C16:E16"/>
<mergeCell ref="C17:E17"/>
<mergeCell ref="C18:E18"/>
<mergeCell ref="C19:E19"/>
<mergeCell ref="C20:E20"/>
<mergeCell ref="B23:H23"/>
<mergeCell ref="B25:I25"/>
<mergeCell ref="B42:H42"/>
<mergeCell ref="C43:E43"/>
<mergeCell ref="C44:E44"/>
<mergeCell ref="C45:E45"/>
<mergeCell ref="C46:E46"/>
<mergeCell ref="B48:I48"/>
</mergeCells>
</worksheet>
</file>